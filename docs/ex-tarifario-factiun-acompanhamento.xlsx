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onentes" sheetId="2" state="visible" r:id="rId2"/>
    <sheet name="Documentos" sheetId="3" state="visible" r:id="rId3"/>
    <sheet name="Ações" sheetId="4" state="visible" r:id="rId4"/>
    <sheet name="Riscos" sheetId="5" state="visible" r:id="rId5"/>
    <sheet name="Cronograma" sheetId="6" state="visible" r:id="rId6"/>
  </sheets>
  <definedNames>
    <definedName name="_xlnm._FilterDatabase" localSheetId="1" hidden="1">'Componentes'!$A$1:$L$8</definedName>
    <definedName name="_xlnm._FilterDatabase" localSheetId="2" hidden="1">'Documentos'!$A$1:$H$19</definedName>
    <definedName name="_xlnm._FilterDatabase" localSheetId="3" hidden="1">'Ações'!$A$1:$G$21</definedName>
    <definedName name="_xlnm._FilterDatabase" localSheetId="4" hidden="1">'Riscos'!$A$1:$F$13</definedName>
    <definedName name="_xlnm._FilterDatabase" localSheetId="5" hidden="1">'Cronograma'!$A$1:$F$12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FF7CC"/>
      </patternFill>
    </fill>
  </fills>
  <borders count="2">
    <border>
      <left/>
      <right/>
      <top/>
      <bottom/>
      <diagonal/>
    </border>
    <border>
      <left style="thin">
        <color rgb="00C9CDD3"/>
      </left>
      <right style="thin">
        <color rgb="00C9CDD3"/>
      </right>
      <top style="thin">
        <color rgb="00C9CDD3"/>
      </top>
      <bottom style="thin">
        <color rgb="00C9CD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2" fillId="3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Videl</author>
  </authors>
  <commentList>
    <comment ref="E2" authorId="0" shapeId="0">
      <text>
        <t>Alíquotas conforme documentos da Factiun (cartas de 20-21/08). Confirmar no anexo da Gecex 852/2026 antes de citar ao MDIC.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EX-TARIFÁRIO FACTIUN SUN BR — ACOMPANHAMENTO</t>
        </is>
      </c>
    </row>
    <row r="2">
      <c r="A2" s="2" t="inlineStr">
        <is>
          <t>Videl T&amp;L · atualizado em 01/09/2026 · células amarelas são de preenchimento; as demais são fórmulas ou referência</t>
        </is>
      </c>
    </row>
    <row r="4">
      <c r="A4" s="3" t="inlineStr">
        <is>
          <t>Documentos OK (4 dossiês)</t>
        </is>
      </c>
      <c r="B4" s="4">
        <f>COUNTIF(Documentos!B2:E100,"OK")</f>
        <v/>
      </c>
    </row>
    <row r="5">
      <c r="A5" s="3" t="inlineStr">
        <is>
          <t>Documentos a ajustar</t>
        </is>
      </c>
      <c r="B5" s="4">
        <f>COUNTIF(Documentos!B2:E100,"AJUSTAR")</f>
        <v/>
      </c>
    </row>
    <row r="6">
      <c r="A6" s="3" t="inlineStr">
        <is>
          <t>Documentos faltando</t>
        </is>
      </c>
      <c r="B6" s="4">
        <f>COUNTIF(Documentos!B2:E100,"FALTA")</f>
        <v/>
      </c>
    </row>
    <row r="7">
      <c r="A7" s="3" t="inlineStr">
        <is>
          <t>Ações pendentes</t>
        </is>
      </c>
      <c r="B7" s="4">
        <f>COUNTIF(Ações!F2:F100,"Pendente")</f>
        <v/>
      </c>
    </row>
    <row r="8">
      <c r="A8" s="3" t="inlineStr">
        <is>
          <t>Ações concluídas</t>
        </is>
      </c>
      <c r="B8" s="4">
        <f>COUNTIF(Ações!F2:F100,"Concluído")</f>
        <v/>
      </c>
    </row>
    <row r="9">
      <c r="A9" s="3" t="inlineStr">
        <is>
          <t>Ações críticas pendentes</t>
        </is>
      </c>
      <c r="B9" s="4">
        <f>COUNTIFS(Ações!E2:E100,"CRÍTICO",Ações!F2:F100,"Pendente")</f>
        <v/>
      </c>
    </row>
    <row r="10">
      <c r="A10" s="3" t="inlineStr">
        <is>
          <t>Riscos abertos</t>
        </is>
      </c>
      <c r="B10" s="4">
        <f>COUNTIF(Riscos!F2:F100,"Aberto")</f>
        <v/>
      </c>
    </row>
    <row r="11">
      <c r="A11" s="3" t="inlineStr">
        <is>
          <t>Próxima ação vencida ou de hoje</t>
        </is>
      </c>
      <c r="B11" s="4">
        <f>SUMPRODUCT((Ações!D2:D100&lt;=TODAY())*(Ações!F2:F100="Pendente"))</f>
        <v/>
      </c>
    </row>
    <row r="12">
      <c r="A12" s="3" t="inlineStr">
        <is>
          <t>Processos protocolados</t>
        </is>
      </c>
      <c r="B12" s="4">
        <f>COUNTA(Componentes!J2:J8)</f>
        <v/>
      </c>
    </row>
    <row r="14">
      <c r="A14" s="3" t="inlineStr">
        <is>
          <t>Legenda</t>
        </is>
      </c>
    </row>
    <row r="15">
      <c r="A15" s="5" t="inlineStr">
        <is>
          <t>Amarelo = preencher (status, nº de processo, datas)</t>
        </is>
      </c>
    </row>
    <row r="16">
      <c r="A16" s="6" t="inlineStr">
        <is>
          <t>Abas: Componentes · Documentos · Ações · Riscos · Cronograma</t>
        </is>
      </c>
    </row>
    <row r="17">
      <c r="A17" s="2" t="inlineStr">
        <is>
          <t>Fonte: Relatório de análise Videl 01/09/2026 (docs/ex-tarifario-factiun-relatorio-2026-09-01.md)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9" customWidth="1" min="4" max="4"/>
    <col width="10" customWidth="1" min="5" max="5"/>
    <col width="40" customWidth="1" min="6" max="6"/>
    <col width="32" customWidth="1" min="7" max="7"/>
    <col width="11" customWidth="1" min="8" max="8"/>
    <col width="38" customWidth="1" min="9" max="9"/>
    <col width="18" customWidth="1" min="10" max="10"/>
    <col width="14" customWidth="1" min="11" max="11"/>
    <col width="18" customWidth="1" min="12" max="12"/>
  </cols>
  <sheetData>
    <row r="1">
      <c r="A1" s="7" t="inlineStr">
        <is>
          <t>Componente</t>
        </is>
      </c>
      <c r="B1" s="7" t="inlineStr">
        <is>
          <t>Fabricante / origem</t>
        </is>
      </c>
      <c r="C1" s="7" t="inlineStr">
        <is>
          <t>NCM adotada</t>
        </is>
      </c>
      <c r="D1" s="7" t="inlineStr">
        <is>
          <t>BK/BIT</t>
        </is>
      </c>
      <c r="E1" s="7" t="inlineStr">
        <is>
          <t>II atual (%)</t>
        </is>
      </c>
      <c r="F1" s="7" t="inlineStr">
        <is>
          <t>Ex vigente / precedente</t>
        </is>
      </c>
      <c r="G1" s="7" t="inlineStr">
        <is>
          <t>Produção nacional</t>
        </is>
      </c>
      <c r="H1" s="7" t="inlineStr">
        <is>
          <t>Onda</t>
        </is>
      </c>
      <c r="I1" s="7" t="inlineStr">
        <is>
          <t>Veredito 01/09</t>
        </is>
      </c>
      <c r="J1" s="7" t="inlineStr">
        <is>
          <t>Nº processo SEI</t>
        </is>
      </c>
      <c r="K1" s="7" t="inlineStr">
        <is>
          <t>Data protocolo</t>
        </is>
      </c>
      <c r="L1" s="7" t="inlineStr">
        <is>
          <t>Status do processo</t>
        </is>
      </c>
    </row>
    <row r="2">
      <c r="A2" s="8" t="inlineStr">
        <is>
          <t>Amortecedor hidráulico</t>
        </is>
      </c>
      <c r="B2" s="8" t="inlineStr">
        <is>
          <t>Zhengzhou XSD Industrial / China</t>
        </is>
      </c>
      <c r="C2" s="8" t="inlineStr">
        <is>
          <t>8479.90.90</t>
        </is>
      </c>
      <c r="D2" s="8" t="inlineStr">
        <is>
          <t>BK</t>
        </is>
      </c>
      <c r="E2" s="9" t="n">
        <v>0.14</v>
      </c>
      <c r="F2" s="8" t="inlineStr">
        <is>
          <t>Sem Ex; suportes Ex 336/337 até 30/09/2027</t>
        </is>
      </c>
      <c r="G2" s="8" t="inlineStr">
        <is>
          <t>Baixo risco</t>
        </is>
      </c>
      <c r="H2" s="8" t="inlineStr">
        <is>
          <t>1ª</t>
        </is>
      </c>
      <c r="I2" s="8" t="inlineStr">
        <is>
          <t>Elegível — pleito mais sólido</t>
        </is>
      </c>
      <c r="J2" s="10" t="inlineStr"/>
      <c r="K2" s="10" t="inlineStr"/>
      <c r="L2" s="10" t="inlineStr">
        <is>
          <t>Pré-protocolo</t>
        </is>
      </c>
    </row>
    <row r="3">
      <c r="A3" s="8" t="inlineStr">
        <is>
          <t>TCU Tracker Control Unit</t>
        </is>
      </c>
      <c r="B3" s="8" t="inlineStr">
        <is>
          <t>IED Electronics / Sunner / Espanha</t>
        </is>
      </c>
      <c r="C3" s="8" t="inlineStr">
        <is>
          <t>A FIXAR (8479.90.90 ou 8517.62.59)</t>
        </is>
      </c>
      <c r="D3" s="8" t="inlineStr">
        <is>
          <t>BK ou BIT</t>
        </is>
      </c>
      <c r="E3" s="9" t="n">
        <v>0.14</v>
      </c>
      <c r="F3" s="8" t="inlineStr">
        <is>
          <t>Ex 403 (8479.90.90) vencido 31/03/2026, sem renovação</t>
        </is>
      </c>
      <c r="G3" s="8" t="inlineStr">
        <is>
          <t>Baixo risco</t>
        </is>
      </c>
      <c r="H3" s="8" t="inlineStr">
        <is>
          <t>1ª</t>
        </is>
      </c>
      <c r="I3" s="8" t="inlineStr">
        <is>
          <t>Elegível, condicionado à NCM</t>
        </is>
      </c>
      <c r="J3" s="10" t="inlineStr"/>
      <c r="K3" s="10" t="inlineStr"/>
      <c r="L3" s="10" t="inlineStr">
        <is>
          <t>Pré-protocolo</t>
        </is>
      </c>
    </row>
    <row r="4">
      <c r="A4" s="8" t="inlineStr">
        <is>
          <t>Painel FV dedicado 45 W</t>
        </is>
      </c>
      <c r="B4" s="8" t="inlineStr">
        <is>
          <t>Yuhuan Sunpro / China</t>
        </is>
      </c>
      <c r="C4" s="8" t="inlineStr">
        <is>
          <t>8479.90.90 (parte do tracker)</t>
        </is>
      </c>
      <c r="D4" s="8" t="inlineStr">
        <is>
          <t>BK</t>
        </is>
      </c>
      <c r="E4" s="9" t="n">
        <v>0.14</v>
      </c>
      <c r="F4" s="8" t="inlineStr">
        <is>
          <t>Ex 465 (8479.90.90) vencido 31/03/2026 — precedente</t>
        </is>
      </c>
      <c r="G4" s="8" t="inlineStr">
        <is>
          <t>Baixo como parte; risco de reclassificação 8541.43.00</t>
        </is>
      </c>
      <c r="H4" s="8" t="inlineStr">
        <is>
          <t>2ª</t>
        </is>
      </c>
      <c r="I4" s="8" t="inlineStr">
        <is>
          <t>Decisão pendente — parecer do despachante + INMETRO</t>
        </is>
      </c>
      <c r="J4" s="10" t="inlineStr"/>
      <c r="K4" s="10" t="inlineStr"/>
      <c r="L4" s="10" t="inlineStr">
        <is>
          <t>Em avaliação</t>
        </is>
      </c>
    </row>
    <row r="5">
      <c r="A5" s="8" t="inlineStr">
        <is>
          <t>Sistema de Giro (acionamento 55:1 + motor 24 Vcc + suportes)</t>
        </is>
      </c>
      <c r="B5" s="8" t="inlineStr">
        <is>
          <t>Jiangyin Youju / China</t>
        </is>
      </c>
      <c r="C5" s="8" t="inlineStr">
        <is>
          <t>8483.40.10 (proforma diz 8483.40.90)</t>
        </is>
      </c>
      <c r="D5" s="8" t="inlineStr">
        <is>
          <t>BK</t>
        </is>
      </c>
      <c r="E5" s="9" t="n">
        <v>0.126</v>
      </c>
      <c r="F5" s="8" t="inlineStr">
        <is>
          <t>Ex 454 (8483.40.10) VIGENTE até 31/12/2027; Ex 401 motor; Ex 306/331/474</t>
        </is>
      </c>
      <c r="G5" s="8" t="inlineStr">
        <is>
          <t>Nenhum fabricante de série</t>
        </is>
      </c>
      <c r="H5" s="8" t="inlineStr">
        <is>
          <t>Condicional</t>
        </is>
      </c>
      <c r="I5" s="8" t="inlineStr">
        <is>
          <t>Cotejar com Ex 454 antes de protocolar</t>
        </is>
      </c>
      <c r="J5" s="10" t="inlineStr"/>
      <c r="K5" s="10" t="inlineStr"/>
      <c r="L5" s="10" t="inlineStr">
        <is>
          <t>Cotejo pendente</t>
        </is>
      </c>
    </row>
    <row r="6">
      <c r="A6" s="8" t="inlineStr">
        <is>
          <t>Mancal / conjunto de rolamentos</t>
        </is>
      </c>
      <c r="B6" s="8" t="inlineStr">
        <is>
          <t>Factiun Sun S.L. (fornecedor a definir)</t>
        </is>
      </c>
      <c r="C6" s="8" t="inlineStr">
        <is>
          <t>8479.90.90</t>
        </is>
      </c>
      <c r="D6" s="8" t="inlineStr">
        <is>
          <t>BK</t>
        </is>
      </c>
      <c r="E6" s="9" t="n">
        <v>0.14</v>
      </c>
      <c r="F6" s="8" t="inlineStr">
        <is>
          <t>Nenhum</t>
        </is>
      </c>
      <c r="G6" s="8" t="inlineStr">
        <is>
          <t>Fabricante nacional declarado (MTR Solar/Arcol)</t>
        </is>
      </c>
      <c r="H6" s="8" t="inlineStr">
        <is>
          <t>—</t>
        </is>
      </c>
      <c r="I6" s="8" t="inlineStr">
        <is>
          <t>RETIRADO do pacote (28/08)</t>
        </is>
      </c>
      <c r="J6" s="10" t="inlineStr"/>
      <c r="K6" s="10" t="inlineStr"/>
      <c r="L6" s="10" t="inlineStr">
        <is>
          <t>Retirado</t>
        </is>
      </c>
    </row>
    <row r="7">
      <c r="A7" s="8" t="inlineStr">
        <is>
          <t>Anemômetro</t>
        </is>
      </c>
      <c r="B7" s="8" t="inlineStr">
        <is>
          <t>—</t>
        </is>
      </c>
      <c r="C7" s="8" t="inlineStr">
        <is>
          <t>9015.80.90</t>
        </is>
      </c>
      <c r="D7" s="8" t="inlineStr">
        <is>
          <t>—</t>
        </is>
      </c>
      <c r="E7" s="9" t="n"/>
      <c r="F7" s="8" t="inlineStr">
        <is>
          <t>Ex 041 vigente até 30/09/2027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Fora do escopo; usar Ex 041 na DI</t>
        </is>
      </c>
      <c r="J7" s="10" t="inlineStr"/>
      <c r="K7" s="10" t="inlineStr"/>
      <c r="L7" s="10" t="inlineStr">
        <is>
          <t>Fora</t>
        </is>
      </c>
    </row>
    <row r="8">
      <c r="A8" s="8" t="inlineStr">
        <is>
          <t>RSU (transceptor Zigbee)</t>
        </is>
      </c>
      <c r="B8" s="8" t="inlineStr">
        <is>
          <t>—</t>
        </is>
      </c>
      <c r="C8" s="8" t="inlineStr">
        <is>
          <t>8517.62.72</t>
        </is>
      </c>
      <c r="D8" s="8" t="inlineStr">
        <is>
          <t>BIT</t>
        </is>
      </c>
      <c r="E8" s="9" t="n"/>
      <c r="F8" s="8" t="inlineStr">
        <is>
          <t>Ex 003 vigente até 30/09/2027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Cotejar arquitetura e usar Ex 003</t>
        </is>
      </c>
      <c r="J8" s="10" t="inlineStr"/>
      <c r="K8" s="10" t="inlineStr"/>
      <c r="L8" s="10" t="inlineStr">
        <is>
          <t>Cotejo pendente</t>
        </is>
      </c>
    </row>
  </sheetData>
  <autoFilter ref="A1:L8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5" customWidth="1" min="4" max="4"/>
    <col width="15" customWidth="1" min="5" max="5"/>
    <col width="60" customWidth="1" min="6" max="6"/>
    <col width="22" customWidth="1" min="7" max="7"/>
    <col width="12" customWidth="1" min="8" max="8"/>
  </cols>
  <sheetData>
    <row r="1">
      <c r="A1" s="7" t="inlineStr">
        <is>
          <t>Documento</t>
        </is>
      </c>
      <c r="B1" s="7" t="inlineStr">
        <is>
          <t>Amortecedor</t>
        </is>
      </c>
      <c r="C1" s="7" t="inlineStr">
        <is>
          <t>TCU</t>
        </is>
      </c>
      <c r="D1" s="7" t="inlineStr">
        <is>
          <t>Painel dedicado</t>
        </is>
      </c>
      <c r="E1" s="7" t="inlineStr">
        <is>
          <t>Sistema de Giro</t>
        </is>
      </c>
      <c r="F1" s="7" t="inlineStr">
        <is>
          <t>Ação necessária</t>
        </is>
      </c>
      <c r="G1" s="7" t="inlineStr">
        <is>
          <t>Responsável</t>
        </is>
      </c>
      <c r="H1" s="7" t="inlineStr">
        <is>
          <t>Prazo</t>
        </is>
      </c>
    </row>
    <row r="2">
      <c r="A2" s="8" t="inlineStr">
        <is>
          <t>00. Ficha de pleito</t>
        </is>
      </c>
      <c r="B2" s="10" t="inlineStr">
        <is>
          <t>OK</t>
        </is>
      </c>
      <c r="C2" s="10" t="inlineStr">
        <is>
          <t>AJUSTAR</t>
        </is>
      </c>
      <c r="D2" s="10" t="inlineStr">
        <is>
          <t>OK</t>
        </is>
      </c>
      <c r="E2" s="10" t="inlineStr">
        <is>
          <t>OK</t>
        </is>
      </c>
      <c r="F2" s="8" t="inlineStr">
        <is>
          <t>Alinhar NCM/BK/alíquota da TCU; preencher OCP/laboratório do painel</t>
        </is>
      </c>
      <c r="G2" s="8" t="inlineStr">
        <is>
          <t>Videl</t>
        </is>
      </c>
      <c r="H2" s="11" t="n">
        <v>46270</v>
      </c>
    </row>
    <row r="3">
      <c r="A3" s="8" t="inlineStr">
        <is>
          <t>01. Catálogo original do fabricante (+ tradução)</t>
        </is>
      </c>
      <c r="B3" s="10" t="inlineStr">
        <is>
          <t>FALTA</t>
        </is>
      </c>
      <c r="C3" s="10" t="inlineStr">
        <is>
          <t>AJUSTAR</t>
        </is>
      </c>
      <c r="D3" s="10" t="inlineStr">
        <is>
          <t>AJUSTAR</t>
        </is>
      </c>
      <c r="E3" s="10" t="inlineStr">
        <is>
          <t>AJUSTAR</t>
        </is>
      </c>
      <c r="F3" s="8" t="inlineStr">
        <is>
          <t>Obter catálogo XSD; traduzir DS Sunner; Sunpro em PDF nativo; catálogo Youju. Anexar SOMENTE o catálogo no campo próprio</t>
        </is>
      </c>
      <c r="G3" s="8" t="inlineStr">
        <is>
          <t>Factiun (Iñigo)</t>
        </is>
      </c>
      <c r="H3" s="11" t="n">
        <v>46273</v>
      </c>
    </row>
    <row r="4">
      <c r="A4" s="8" t="inlineStr">
        <is>
          <t>03. Fatura proforma em nome da Factiun Sun BR, destino Brasil</t>
        </is>
      </c>
      <c r="B4" s="10" t="inlineStr">
        <is>
          <t>AJUSTAR</t>
        </is>
      </c>
      <c r="C4" s="10" t="inlineStr">
        <is>
          <t>AJUSTAR</t>
        </is>
      </c>
      <c r="D4" s="10" t="inlineStr">
        <is>
          <t>AJUSTAR</t>
        </is>
      </c>
      <c r="E4" s="10" t="inlineStr">
        <is>
          <t>AJUSTAR</t>
        </is>
      </c>
      <c r="F4" s="8" t="inlineStr">
        <is>
          <t>Todas as proformas estão em nome da Factiun Sun S.L. (Espanha); TCU é fatura real EXW de 2 un. Emitir novas com quantidades do projeto Boa Hora + tradução</t>
        </is>
      </c>
      <c r="G4" s="8" t="inlineStr">
        <is>
          <t>Factiun (compras)</t>
        </is>
      </c>
      <c r="H4" s="11" t="n">
        <v>46273</v>
      </c>
    </row>
    <row r="5">
      <c r="A5" s="8" t="inlineStr">
        <is>
          <t>04. Procuração (Tony → Gearlison, 21/08)</t>
        </is>
      </c>
      <c r="B5" s="10" t="inlineStr">
        <is>
          <t>OK</t>
        </is>
      </c>
      <c r="C5" s="10" t="inlineStr">
        <is>
          <t>OK</t>
        </is>
      </c>
      <c r="D5" s="10" t="inlineStr">
        <is>
          <t>OK</t>
        </is>
      </c>
      <c r="E5" s="10" t="inlineStr">
        <is>
          <t>OK</t>
        </is>
      </c>
      <c r="F5" s="8" t="inlineStr">
        <is>
          <t>Arquivo "04. Procuração" nos zips é o contrato social: renomear e juntar a procuração real</t>
        </is>
      </c>
      <c r="G5" s="8" t="inlineStr">
        <is>
          <t>Videl</t>
        </is>
      </c>
      <c r="H5" s="11" t="n">
        <v>46270</v>
      </c>
    </row>
    <row r="6">
      <c r="A6" s="8" t="inlineStr">
        <is>
          <t>04b. Contrato social consolidado (1ª alt. 30/04 + 2ª alt. 10/08)</t>
        </is>
      </c>
      <c r="B6" s="10" t="inlineStr">
        <is>
          <t>AJUSTAR</t>
        </is>
      </c>
      <c r="C6" s="10" t="inlineStr">
        <is>
          <t>AJUSTAR</t>
        </is>
      </c>
      <c r="D6" s="10" t="inlineStr">
        <is>
          <t>AJUSTAR</t>
        </is>
      </c>
      <c r="E6" s="10" t="inlineStr">
        <is>
          <t>AJUSTAR</t>
        </is>
      </c>
      <c r="F6" s="8" t="inlineStr">
        <is>
          <t>Recebida só a constituição de 22/01/2026</t>
        </is>
      </c>
      <c r="G6" s="8" t="inlineStr">
        <is>
          <t>Factiun (Tony)</t>
        </is>
      </c>
      <c r="H6" s="11" t="n">
        <v>46270</v>
      </c>
    </row>
    <row r="7">
      <c r="A7" s="8" t="inlineStr">
        <is>
          <t>04c. Cartão CNPJ (endereço Salvador)</t>
        </is>
      </c>
      <c r="B7" s="10" t="inlineStr">
        <is>
          <t>OK</t>
        </is>
      </c>
      <c r="C7" s="10" t="inlineStr">
        <is>
          <t>OK</t>
        </is>
      </c>
      <c r="D7" s="10" t="inlineStr">
        <is>
          <t>OK</t>
        </is>
      </c>
      <c r="E7" s="10" t="inlineStr">
        <is>
          <t>OK</t>
        </is>
      </c>
      <c r="F7" s="8" t="inlineStr">
        <is>
          <t>Conferir endereço; IE ainda de MG</t>
        </is>
      </c>
      <c r="G7" s="8" t="inlineStr">
        <is>
          <t>Videl</t>
        </is>
      </c>
      <c r="H7" s="11" t="n">
        <v>46268</v>
      </c>
    </row>
    <row r="8">
      <c r="A8" s="8" t="inlineStr">
        <is>
          <t>05. Memória técnica</t>
        </is>
      </c>
      <c r="B8" s="10" t="inlineStr">
        <is>
          <t>OK</t>
        </is>
      </c>
      <c r="C8" s="10" t="inlineStr">
        <is>
          <t>AJUSTAR</t>
        </is>
      </c>
      <c r="D8" s="10" t="inlineStr">
        <is>
          <t>OK</t>
        </is>
      </c>
      <c r="E8" s="10" t="inlineStr">
        <is>
          <t>OK</t>
        </is>
      </c>
      <c r="F8" s="8" t="inlineStr">
        <is>
          <t>Remover marca "Sunner"; alinhar NCM</t>
        </is>
      </c>
      <c r="G8" s="8" t="inlineStr">
        <is>
          <t>Factiun</t>
        </is>
      </c>
      <c r="H8" s="11" t="n">
        <v>46270</v>
      </c>
    </row>
    <row r="9">
      <c r="A9" s="8" t="inlineStr">
        <is>
          <t>06. Projeto de investimento (art. 4º §3º)</t>
        </is>
      </c>
      <c r="B9" s="10" t="inlineStr">
        <is>
          <t>OK</t>
        </is>
      </c>
      <c r="C9" s="10" t="inlineStr">
        <is>
          <t>OK</t>
        </is>
      </c>
      <c r="D9" s="10" t="inlineStr">
        <is>
          <t>OK</t>
        </is>
      </c>
      <c r="E9" s="10" t="inlineStr">
        <is>
          <t>OK</t>
        </is>
      </c>
      <c r="F9" s="8" t="inlineStr">
        <is>
          <t>PDF único idêntico em todos os processos</t>
        </is>
      </c>
      <c r="G9" s="8" t="inlineStr">
        <is>
          <t>Videl</t>
        </is>
      </c>
      <c r="H9" s="11" t="n">
        <v>46266</v>
      </c>
    </row>
    <row r="10">
      <c r="A10" s="8" t="inlineStr">
        <is>
          <t>07. Declaração de usuário final (BCP Energy) ASSINADA</t>
        </is>
      </c>
      <c r="B10" s="10" t="inlineStr">
        <is>
          <t>FALTA</t>
        </is>
      </c>
      <c r="C10" s="10" t="inlineStr">
        <is>
          <t>FALTA</t>
        </is>
      </c>
      <c r="D10" s="10" t="inlineStr">
        <is>
          <t>FALTA</t>
        </is>
      </c>
      <c r="E10" s="10" t="inlineStr">
        <is>
          <t>FALTA</t>
        </is>
      </c>
      <c r="F10" s="8" t="inlineStr">
        <is>
          <t>Sem assinatura; datar em Fortaleza; título correto; NCM por processo; anexar PVsyst</t>
        </is>
      </c>
      <c r="G10" s="8" t="inlineStr">
        <is>
          <t>Factiun (Tony) + BCP</t>
        </is>
      </c>
      <c r="H10" s="11" t="n">
        <v>46274</v>
      </c>
    </row>
    <row r="11">
      <c r="A11" s="8" t="inlineStr">
        <is>
          <t>08. Carta justificativa assinada com texto TEC</t>
        </is>
      </c>
      <c r="B11" s="10" t="inlineStr">
        <is>
          <t>AJUSTAR</t>
        </is>
      </c>
      <c r="C11" s="10" t="inlineStr">
        <is>
          <t>AJUSTAR</t>
        </is>
      </c>
      <c r="D11" s="10" t="inlineStr">
        <is>
          <t>AJUSTAR</t>
        </is>
      </c>
      <c r="E11" s="10" t="inlineStr">
        <is>
          <t>FALTA</t>
        </is>
      </c>
      <c r="F11" s="8" t="inlineStr">
        <is>
          <t>Substituir "texto do Ex pretendido" pelos textos TEC (Pacote 28/08); Sistema de Giro tem texto copiado da TCU e está sem assinatura</t>
        </is>
      </c>
      <c r="G11" s="8" t="inlineStr">
        <is>
          <t>Videl redige / Tony assina</t>
        </is>
      </c>
      <c r="H11" s="11" t="n">
        <v>46273</v>
      </c>
    </row>
    <row r="12">
      <c r="A12" s="8" t="inlineStr">
        <is>
          <t>Relatório PVsyst completo (lastro 1.539 → 1.998 kWh/kWp/ano)</t>
        </is>
      </c>
      <c r="B12" s="10" t="inlineStr">
        <is>
          <t>FALTA</t>
        </is>
      </c>
      <c r="C12" s="10" t="inlineStr">
        <is>
          <t>FALTA</t>
        </is>
      </c>
      <c r="D12" s="10" t="inlineStr">
        <is>
          <t>FALTA</t>
        </is>
      </c>
      <c r="E12" s="10" t="inlineStr">
        <is>
          <t>FALTA</t>
        </is>
      </c>
      <c r="F12" s="8" t="inlineStr">
        <is>
          <t>Alinhar MWh/ano (216.452 vs 230.850) em todos os documentos</t>
        </is>
      </c>
      <c r="G12" s="8" t="inlineStr">
        <is>
          <t>Factiun (engenharia)</t>
        </is>
      </c>
      <c r="H12" s="11" t="n">
        <v>46273</v>
      </c>
    </row>
    <row r="13">
      <c r="A13" s="8" t="inlineStr">
        <is>
          <t>Laudo técnico CREA (recomendado)</t>
        </is>
      </c>
      <c r="B13" s="10" t="inlineStr">
        <is>
          <t>FALTA</t>
        </is>
      </c>
      <c r="C13" s="10" t="inlineStr">
        <is>
          <t>FALTA</t>
        </is>
      </c>
      <c r="D13" s="10" t="inlineStr">
        <is>
          <t>N/A</t>
        </is>
      </c>
      <c r="E13" s="10" t="inlineStr">
        <is>
          <t>FALTA</t>
        </is>
      </c>
      <c r="F13" s="8" t="inlineStr">
        <is>
          <t>Antes da consulta pública</t>
        </is>
      </c>
      <c r="G13" s="8" t="inlineStr">
        <is>
          <t>Videl contrata</t>
        </is>
      </c>
      <c r="H13" s="11" t="n">
        <v>46295</v>
      </c>
    </row>
    <row r="14">
      <c r="A14" s="8" t="inlineStr">
        <is>
          <t>Atestado ABIMAQ de inexistência de produção nacional</t>
        </is>
      </c>
      <c r="B14" s="10" t="inlineStr">
        <is>
          <t>FALTA</t>
        </is>
      </c>
      <c r="C14" s="10" t="inlineStr">
        <is>
          <t>FALTA</t>
        </is>
      </c>
      <c r="D14" s="10" t="inlineStr">
        <is>
          <t>FALTA</t>
        </is>
      </c>
      <c r="E14" s="10" t="inlineStr">
        <is>
          <t>FALTA</t>
        </is>
      </c>
      <c r="F14" s="8" t="inlineStr">
        <is>
          <t>Solicitar antes do protocolo</t>
        </is>
      </c>
      <c r="G14" s="8" t="inlineStr">
        <is>
          <t>Videl</t>
        </is>
      </c>
      <c r="H14" s="11" t="n">
        <v>46280</v>
      </c>
    </row>
    <row r="15">
      <c r="A15" s="8" t="inlineStr">
        <is>
          <t>3 consultas a fabricantes nacionais documentadas</t>
        </is>
      </c>
      <c r="B15" s="10" t="inlineStr">
        <is>
          <t>FALTA</t>
        </is>
      </c>
      <c r="C15" s="10" t="inlineStr">
        <is>
          <t>FALTA</t>
        </is>
      </c>
      <c r="D15" s="10" t="inlineStr">
        <is>
          <t>N/A</t>
        </is>
      </c>
      <c r="E15" s="10" t="inlineStr">
        <is>
          <t>N/A</t>
        </is>
      </c>
      <c r="F15" s="8" t="inlineStr">
        <is>
          <t>Não obrigatório; fortalece réplica</t>
        </is>
      </c>
      <c r="G15" s="8" t="inlineStr">
        <is>
          <t>Videl + Factiun</t>
        </is>
      </c>
      <c r="H15" s="11" t="n">
        <v>46280</v>
      </c>
    </row>
    <row r="16">
      <c r="A16" s="8" t="inlineStr">
        <is>
          <t>Parecer de classificação fiscal do despachante</t>
        </is>
      </c>
      <c r="B16" s="10" t="inlineStr">
        <is>
          <t>N/A</t>
        </is>
      </c>
      <c r="C16" s="10" t="inlineStr">
        <is>
          <t>FALTA</t>
        </is>
      </c>
      <c r="D16" s="10" t="inlineStr">
        <is>
          <t>FALTA</t>
        </is>
      </c>
      <c r="E16" s="10" t="inlineStr">
        <is>
          <t>FALTA</t>
        </is>
      </c>
      <c r="F16" s="8" t="inlineStr">
        <is>
          <t>TCU, painel e sistema de giro (8483.40.10 x .90 x Ex 454)</t>
        </is>
      </c>
      <c r="G16" s="8" t="inlineStr">
        <is>
          <t>Adailton + despachante</t>
        </is>
      </c>
      <c r="H16" s="11" t="n">
        <v>46269</v>
      </c>
    </row>
    <row r="17">
      <c r="A17" s="8" t="inlineStr">
        <is>
          <t>Cadastro SEI usuário externo (Gearlison, e-mail pessoal)</t>
        </is>
      </c>
      <c r="B17" s="10" t="inlineStr">
        <is>
          <t>FALTA</t>
        </is>
      </c>
      <c r="C17" s="10" t="inlineStr">
        <is>
          <t>FALTA</t>
        </is>
      </c>
      <c r="D17" s="10" t="inlineStr">
        <is>
          <t>FALTA</t>
        </is>
      </c>
      <c r="E17" s="10" t="inlineStr">
        <is>
          <t>FALTA</t>
        </is>
      </c>
      <c r="F17" s="8" t="inlineStr">
        <is>
          <t>Caminho crítico: 3 a 5 dias úteis</t>
        </is>
      </c>
      <c r="G17" s="8" t="inlineStr">
        <is>
          <t>Gearlison</t>
        </is>
      </c>
      <c r="H17" s="11" t="n">
        <v>46267</v>
      </c>
    </row>
    <row r="18">
      <c r="A18" s="8" t="inlineStr">
        <is>
          <t>PDFs pesquisáveis, sem comentários, ≤ 30 MB</t>
        </is>
      </c>
      <c r="B18" s="10" t="inlineStr">
        <is>
          <t>OK</t>
        </is>
      </c>
      <c r="C18" s="10" t="inlineStr">
        <is>
          <t>OK</t>
        </is>
      </c>
      <c r="D18" s="10" t="inlineStr">
        <is>
          <t>AJUSTAR</t>
        </is>
      </c>
      <c r="E18" s="10" t="inlineStr">
        <is>
          <t>OK</t>
        </is>
      </c>
      <c r="F18" s="8" t="inlineStr">
        <is>
          <t>Regerar após correções</t>
        </is>
      </c>
      <c r="G18" s="8" t="inlineStr">
        <is>
          <t>Videl</t>
        </is>
      </c>
      <c r="H18" s="11" t="n">
        <v>46274</v>
      </c>
    </row>
    <row r="19">
      <c r="A19" s="8" t="inlineStr">
        <is>
          <t>Contrato de consultoria Videl × Factiun assinado</t>
        </is>
      </c>
      <c r="B19" s="10" t="inlineStr">
        <is>
          <t>FALTA</t>
        </is>
      </c>
      <c r="C19" s="10" t="inlineStr">
        <is>
          <t>FALTA</t>
        </is>
      </c>
      <c r="D19" s="10" t="inlineStr">
        <is>
          <t>FALTA</t>
        </is>
      </c>
      <c r="E19" s="10" t="inlineStr">
        <is>
          <t>FALTA</t>
        </is>
      </c>
      <c r="F19" s="8" t="inlineStr">
        <is>
          <t>Minuta v2.0 sem assinatura</t>
        </is>
      </c>
      <c r="G19" s="8" t="inlineStr">
        <is>
          <t>Gearlison / Nathalyn</t>
        </is>
      </c>
      <c r="H19" s="11" t="n">
        <v>46275</v>
      </c>
    </row>
  </sheetData>
  <autoFilter ref="A1:H19"/>
  <dataValidations count="1">
    <dataValidation sqref="B2:E19" showDropDown="0" showInputMessage="0" showErrorMessage="0" allowBlank="1" type="list">
      <formula1>"OK,AJUSTAR,FALTA,N/A"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2" customWidth="1" min="3" max="3"/>
    <col width="12" customWidth="1" min="4" max="4"/>
    <col width="12" customWidth="1" min="5" max="5"/>
    <col width="12" customWidth="1" min="6" max="6"/>
    <col width="40" customWidth="1" min="7" max="7"/>
  </cols>
  <sheetData>
    <row r="1">
      <c r="A1" s="7" t="inlineStr">
        <is>
          <t>#</t>
        </is>
      </c>
      <c r="B1" s="7" t="inlineStr">
        <is>
          <t>Ação</t>
        </is>
      </c>
      <c r="C1" s="7" t="inlineStr">
        <is>
          <t>Responsável</t>
        </is>
      </c>
      <c r="D1" s="7" t="inlineStr">
        <is>
          <t>Prazo</t>
        </is>
      </c>
      <c r="E1" s="7" t="inlineStr">
        <is>
          <t>Prioridade</t>
        </is>
      </c>
      <c r="F1" s="7" t="inlineStr">
        <is>
          <t>Status</t>
        </is>
      </c>
      <c r="G1" s="7" t="inlineStr">
        <is>
          <t>Observação</t>
        </is>
      </c>
    </row>
    <row r="2">
      <c r="A2" s="8" t="n">
        <v>1</v>
      </c>
      <c r="B2" s="8" t="inlineStr">
        <is>
          <t>Iniciar cadastro de usuário externo no SEI/ColaboraGov (e-mail pessoal, Termo assinado via gov.br)</t>
        </is>
      </c>
      <c r="C2" s="8" t="inlineStr">
        <is>
          <t>Gearlison</t>
        </is>
      </c>
      <c r="D2" s="11" t="n">
        <v>46267</v>
      </c>
      <c r="E2" s="8" t="inlineStr">
        <is>
          <t>CRÍTICO</t>
        </is>
      </c>
      <c r="F2" s="10" t="inlineStr">
        <is>
          <t>Pendente</t>
        </is>
      </c>
      <c r="G2" s="10" t="inlineStr"/>
    </row>
    <row r="3">
      <c r="A3" s="8" t="n">
        <v>2</v>
      </c>
      <c r="B3" s="8" t="inlineStr">
        <is>
          <t>Responder à Factiun com pendências (rascunho no Gmail)</t>
        </is>
      </c>
      <c r="C3" s="8" t="inlineStr">
        <is>
          <t>Gearlison</t>
        </is>
      </c>
      <c r="D3" s="11" t="n">
        <v>46267</v>
      </c>
      <c r="E3" s="8" t="inlineStr">
        <is>
          <t>ALTO</t>
        </is>
      </c>
      <c r="F3" s="10" t="inlineStr">
        <is>
          <t>Pendente</t>
        </is>
      </c>
      <c r="G3" s="10" t="inlineStr"/>
    </row>
    <row r="4">
      <c r="A4" s="8" t="n">
        <v>3</v>
      </c>
      <c r="B4" s="8" t="inlineStr">
        <is>
          <t>Parecer de classificação do despachante: TCU, Sistema de Giro, painel</t>
        </is>
      </c>
      <c r="C4" s="8" t="inlineStr">
        <is>
          <t>Adailton</t>
        </is>
      </c>
      <c r="D4" s="11" t="n">
        <v>46269</v>
      </c>
      <c r="E4" s="8" t="inlineStr">
        <is>
          <t>CRÍTICO</t>
        </is>
      </c>
      <c r="F4" s="10" t="inlineStr">
        <is>
          <t>Pendente</t>
        </is>
      </c>
      <c r="G4" s="10" t="inlineStr"/>
    </row>
    <row r="5">
      <c r="A5" s="8" t="n">
        <v>4</v>
      </c>
      <c r="B5" s="8" t="inlineStr">
        <is>
          <t>Pedir 1ª e 2ª alterações contratuais + conferir cartão CNPJ</t>
        </is>
      </c>
      <c r="C5" s="8" t="inlineStr">
        <is>
          <t>Adailton</t>
        </is>
      </c>
      <c r="D5" s="11" t="n">
        <v>46268</v>
      </c>
      <c r="E5" s="8" t="inlineStr">
        <is>
          <t>ALTO</t>
        </is>
      </c>
      <c r="F5" s="10" t="inlineStr">
        <is>
          <t>Pendente</t>
        </is>
      </c>
      <c r="G5" s="10" t="inlineStr"/>
    </row>
    <row r="6">
      <c r="A6" s="8" t="n">
        <v>5</v>
      </c>
      <c r="B6" s="8" t="inlineStr">
        <is>
          <t>Definir com BCP quem assina a declaração e como (gov.br/ICP)</t>
        </is>
      </c>
      <c r="C6" s="8" t="inlineStr">
        <is>
          <t>Tony / Iñigo</t>
        </is>
      </c>
      <c r="D6" s="11" t="n">
        <v>46268</v>
      </c>
      <c r="E6" s="8" t="inlineStr">
        <is>
          <t>CRÍTICO</t>
        </is>
      </c>
      <c r="F6" s="10" t="inlineStr">
        <is>
          <t>Pendente</t>
        </is>
      </c>
      <c r="G6" s="10" t="inlineStr"/>
    </row>
    <row r="7">
      <c r="A7" s="8" t="n">
        <v>6</v>
      </c>
      <c r="B7" s="8" t="inlineStr">
        <is>
          <t>Proformas novas em nome da Factiun Sun BR (4 componentes)</t>
        </is>
      </c>
      <c r="C7" s="8" t="inlineStr">
        <is>
          <t>Factiun compras</t>
        </is>
      </c>
      <c r="D7" s="11" t="n">
        <v>46273</v>
      </c>
      <c r="E7" s="8" t="inlineStr">
        <is>
          <t>CRÍTICO</t>
        </is>
      </c>
      <c r="F7" s="10" t="inlineStr">
        <is>
          <t>Pendente</t>
        </is>
      </c>
      <c r="G7" s="10" t="inlineStr"/>
    </row>
    <row r="8">
      <c r="A8" s="8" t="n">
        <v>7</v>
      </c>
      <c r="B8" s="8" t="inlineStr">
        <is>
          <t>Catálogos originais (XSD, Sunner traduzido, Sunpro PDF, Youju)</t>
        </is>
      </c>
      <c r="C8" s="8" t="inlineStr">
        <is>
          <t>Iñigo</t>
        </is>
      </c>
      <c r="D8" s="11" t="n">
        <v>46273</v>
      </c>
      <c r="E8" s="8" t="inlineStr">
        <is>
          <t>ALTO</t>
        </is>
      </c>
      <c r="F8" s="10" t="inlineStr">
        <is>
          <t>Pendente</t>
        </is>
      </c>
      <c r="G8" s="10" t="inlineStr"/>
    </row>
    <row r="9">
      <c r="A9" s="8" t="n">
        <v>8</v>
      </c>
      <c r="B9" s="8" t="inlineStr">
        <is>
          <t>Relatório PVsyst + alinhar números em memórias, cartas e declaração</t>
        </is>
      </c>
      <c r="C9" s="8" t="inlineStr">
        <is>
          <t>Engenharia Factiun</t>
        </is>
      </c>
      <c r="D9" s="11" t="n">
        <v>46273</v>
      </c>
      <c r="E9" s="8" t="inlineStr">
        <is>
          <t>ALTO</t>
        </is>
      </c>
      <c r="F9" s="10" t="inlineStr">
        <is>
          <t>Pendente</t>
        </is>
      </c>
      <c r="G9" s="10" t="inlineStr"/>
    </row>
    <row r="10">
      <c r="A10" s="8" t="n">
        <v>9</v>
      </c>
      <c r="B10" s="8" t="inlineStr">
        <is>
          <t>Reescrever textos TEC nas 4 cartas e formulário; remover marca; reassinar</t>
        </is>
      </c>
      <c r="C10" s="8" t="inlineStr">
        <is>
          <t>Videl / Tony</t>
        </is>
      </c>
      <c r="D10" s="11" t="n">
        <v>46273</v>
      </c>
      <c r="E10" s="8" t="inlineStr">
        <is>
          <t>ALTO</t>
        </is>
      </c>
      <c r="F10" s="10" t="inlineStr">
        <is>
          <t>Pendente</t>
        </is>
      </c>
      <c r="G10" s="10" t="inlineStr"/>
    </row>
    <row r="11">
      <c r="A11" s="8" t="n">
        <v>10</v>
      </c>
      <c r="B11" s="8" t="inlineStr">
        <is>
          <t>Declarações de usuário final assinadas pela BCP (uma por processo)</t>
        </is>
      </c>
      <c r="C11" s="8" t="inlineStr">
        <is>
          <t>Tony / BCP</t>
        </is>
      </c>
      <c r="D11" s="11" t="n">
        <v>46274</v>
      </c>
      <c r="E11" s="8" t="inlineStr">
        <is>
          <t>CRÍTICO</t>
        </is>
      </c>
      <c r="F11" s="10" t="inlineStr">
        <is>
          <t>Pendente</t>
        </is>
      </c>
      <c r="G11" s="10" t="inlineStr"/>
    </row>
    <row r="12">
      <c r="A12" s="8" t="n">
        <v>11</v>
      </c>
      <c r="B12" s="8" t="inlineStr">
        <is>
          <t>Cotejo Sistema de Giro × Ex 454/455/401/306/331/474</t>
        </is>
      </c>
      <c r="C12" s="8" t="inlineStr">
        <is>
          <t>Adailton + despachante</t>
        </is>
      </c>
      <c r="D12" s="11" t="n">
        <v>46273</v>
      </c>
      <c r="E12" s="8" t="inlineStr">
        <is>
          <t>ALTO</t>
        </is>
      </c>
      <c r="F12" s="10" t="inlineStr">
        <is>
          <t>Pendente</t>
        </is>
      </c>
      <c r="G12" s="10" t="inlineStr"/>
    </row>
    <row r="13">
      <c r="A13" s="8" t="n">
        <v>12</v>
      </c>
      <c r="B13" s="8" t="inlineStr">
        <is>
          <t>Solicitar atestado ABIMAQ</t>
        </is>
      </c>
      <c r="C13" s="8" t="inlineStr">
        <is>
          <t>Videl</t>
        </is>
      </c>
      <c r="D13" s="11" t="n">
        <v>46280</v>
      </c>
      <c r="E13" s="8" t="inlineStr">
        <is>
          <t>MÉDIO</t>
        </is>
      </c>
      <c r="F13" s="10" t="inlineStr">
        <is>
          <t>Pendente</t>
        </is>
      </c>
      <c r="G13" s="10" t="inlineStr"/>
    </row>
    <row r="14">
      <c r="A14" s="8" t="n">
        <v>13</v>
      </c>
      <c r="B14" s="8" t="inlineStr">
        <is>
          <t>3 consultas a fabricantes nacionais (amortecedor e TCU)</t>
        </is>
      </c>
      <c r="C14" s="8" t="inlineStr">
        <is>
          <t>Videl + Factiun</t>
        </is>
      </c>
      <c r="D14" s="11" t="n">
        <v>46280</v>
      </c>
      <c r="E14" s="8" t="inlineStr">
        <is>
          <t>MÉDIO</t>
        </is>
      </c>
      <c r="F14" s="10" t="inlineStr">
        <is>
          <t>Pendente</t>
        </is>
      </c>
      <c r="G14" s="10" t="inlineStr"/>
    </row>
    <row r="15">
      <c r="A15" s="8" t="n">
        <v>14</v>
      </c>
      <c r="B15" s="8" t="inlineStr">
        <is>
          <t>Regerar PDFs limpos; montar pasta final por processo</t>
        </is>
      </c>
      <c r="C15" s="8" t="inlineStr">
        <is>
          <t>Adailton</t>
        </is>
      </c>
      <c r="D15" s="11" t="n">
        <v>46274</v>
      </c>
      <c r="E15" s="8" t="inlineStr">
        <is>
          <t>ALTO</t>
        </is>
      </c>
      <c r="F15" s="10" t="inlineStr">
        <is>
          <t>Pendente</t>
        </is>
      </c>
      <c r="G15" s="10" t="inlineStr"/>
    </row>
    <row r="16">
      <c r="A16" s="8" t="n">
        <v>15</v>
      </c>
      <c r="B16" s="8" t="inlineStr">
        <is>
          <t>Assinar contrato de consultoria Videl × Factiun</t>
        </is>
      </c>
      <c r="C16" s="8" t="inlineStr">
        <is>
          <t>Gearlison / Nathalyn</t>
        </is>
      </c>
      <c r="D16" s="11" t="n">
        <v>46275</v>
      </c>
      <c r="E16" s="8" t="inlineStr">
        <is>
          <t>MÉDIO</t>
        </is>
      </c>
      <c r="F16" s="10" t="inlineStr">
        <is>
          <t>Pendente</t>
        </is>
      </c>
      <c r="G16" s="10" t="inlineStr"/>
    </row>
    <row r="17">
      <c r="A17" s="8" t="n">
        <v>16</v>
      </c>
      <c r="B17" s="8" t="inlineStr">
        <is>
          <t>Protocolar 1ª onda no SEI (Amortecedor + TCU); guardar recibos; copiar formulário para Word</t>
        </is>
      </c>
      <c r="C17" s="8" t="inlineStr">
        <is>
          <t>Gearlison</t>
        </is>
      </c>
      <c r="D17" s="11" t="n">
        <v>46280</v>
      </c>
      <c r="E17" s="8" t="inlineStr">
        <is>
          <t>CRÍTICO</t>
        </is>
      </c>
      <c r="F17" s="10" t="inlineStr">
        <is>
          <t>Pendente</t>
        </is>
      </c>
      <c r="G17" s="10" t="inlineStr"/>
    </row>
    <row r="18">
      <c r="A18" s="8" t="n">
        <v>17</v>
      </c>
      <c r="B18" s="8" t="inlineStr">
        <is>
          <t>Iniciar INMETRO do painel 45 W (Portaria 140/2022)</t>
        </is>
      </c>
      <c r="C18" s="8" t="inlineStr">
        <is>
          <t>Factiun + Videl</t>
        </is>
      </c>
      <c r="D18" s="11" t="n">
        <v>46295</v>
      </c>
      <c r="E18" s="8" t="inlineStr">
        <is>
          <t>MÉDIO</t>
        </is>
      </c>
      <c r="F18" s="10" t="inlineStr">
        <is>
          <t>Pendente</t>
        </is>
      </c>
      <c r="G18" s="10" t="inlineStr"/>
    </row>
    <row r="19">
      <c r="A19" s="8" t="n">
        <v>18</v>
      </c>
      <c r="B19" s="8" t="inlineStr">
        <is>
          <t>Laudo CREA amortecedor e sistema de giro</t>
        </is>
      </c>
      <c r="C19" s="8" t="inlineStr">
        <is>
          <t>Videl</t>
        </is>
      </c>
      <c r="D19" s="11" t="n">
        <v>46295</v>
      </c>
      <c r="E19" s="8" t="inlineStr">
        <is>
          <t>MÉDIO</t>
        </is>
      </c>
      <c r="F19" s="10" t="inlineStr">
        <is>
          <t>Pendente</t>
        </is>
      </c>
      <c r="G19" s="10" t="inlineStr"/>
    </row>
    <row r="20">
      <c r="A20" s="8" t="n">
        <v>19</v>
      </c>
      <c r="B20" s="8" t="inlineStr">
        <is>
          <t>Decisão comercial: 1º embarque x data do DOU (sem retroatividade)</t>
        </is>
      </c>
      <c r="C20" s="8" t="inlineStr">
        <is>
          <t>Factiun / BCP</t>
        </is>
      </c>
      <c r="D20" s="11" t="n">
        <v>46280</v>
      </c>
      <c r="E20" s="8" t="inlineStr">
        <is>
          <t>ALTO</t>
        </is>
      </c>
      <c r="F20" s="10" t="inlineStr">
        <is>
          <t>Pendente</t>
        </is>
      </c>
      <c r="G20" s="10" t="inlineStr"/>
    </row>
    <row r="21">
      <c r="A21" s="8" t="n">
        <v>20</v>
      </c>
      <c r="B21" s="8" t="inlineStr">
        <is>
          <t>Monitorar Painel de Consultas Públicas semanalmente; kit de réplica pronto</t>
        </is>
      </c>
      <c r="C21" s="8" t="inlineStr">
        <is>
          <t>Adailton</t>
        </is>
      </c>
      <c r="D21" s="11" t="n">
        <v>46310</v>
      </c>
      <c r="E21" s="8" t="inlineStr">
        <is>
          <t>ALTO</t>
        </is>
      </c>
      <c r="F21" s="10" t="inlineStr">
        <is>
          <t>Pendente</t>
        </is>
      </c>
      <c r="G21" s="10" t="inlineStr"/>
    </row>
  </sheetData>
  <autoFilter ref="A1:G21"/>
  <dataValidations count="1">
    <dataValidation sqref="F2:F21" showDropDown="0" showInputMessage="0" showErrorMessage="0" allowBlank="1" type="list">
      <formula1>"Pendente,Em andamento,Concluído,Bloqueado"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4" customWidth="1" min="3" max="3"/>
    <col width="12" customWidth="1" min="4" max="4"/>
    <col width="60" customWidth="1" min="5" max="5"/>
    <col width="12" customWidth="1" min="6" max="6"/>
  </cols>
  <sheetData>
    <row r="1">
      <c r="A1" s="7" t="inlineStr">
        <is>
          <t>ID</t>
        </is>
      </c>
      <c r="B1" s="7" t="inlineStr">
        <is>
          <t>Risco</t>
        </is>
      </c>
      <c r="C1" s="7" t="inlineStr">
        <is>
          <t>Probabilidade</t>
        </is>
      </c>
      <c r="D1" s="7" t="inlineStr">
        <is>
          <t>Impacto</t>
        </is>
      </c>
      <c r="E1" s="7" t="inlineStr">
        <is>
          <t>Mitigação</t>
        </is>
      </c>
      <c r="F1" s="7" t="inlineStr">
        <is>
          <t>Status</t>
        </is>
      </c>
    </row>
    <row r="2">
      <c r="A2" s="8" t="inlineStr">
        <is>
          <t>R1</t>
        </is>
      </c>
      <c r="B2" s="8" t="inlineStr">
        <is>
          <t>Cadastro SEI atrasa e derruba a janela de setembro</t>
        </is>
      </c>
      <c r="C2" s="8" t="inlineStr">
        <is>
          <t>Alta</t>
        </is>
      </c>
      <c r="D2" s="8" t="inlineStr">
        <is>
          <t>Alto</t>
        </is>
      </c>
      <c r="E2" s="8" t="inlineStr">
        <is>
          <t>Iniciar 02/09; assinatura gov.br</t>
        </is>
      </c>
      <c r="F2" s="10" t="inlineStr">
        <is>
          <t>Aberto</t>
        </is>
      </c>
    </row>
    <row r="3">
      <c r="A3" s="8" t="inlineStr">
        <is>
          <t>R2</t>
        </is>
      </c>
      <c r="B3" s="8" t="inlineStr">
        <is>
          <t>Devolução por proforma em nome de terceiro / fatura real EXW</t>
        </is>
      </c>
      <c r="C3" s="8" t="inlineStr">
        <is>
          <t>Alta</t>
        </is>
      </c>
      <c r="D3" s="8" t="inlineStr">
        <is>
          <t>Alto</t>
        </is>
      </c>
      <c r="E3" s="8" t="inlineStr">
        <is>
          <t>Proformas novas em nome da Factiun Sun BR</t>
        </is>
      </c>
      <c r="F3" s="10" t="inlineStr">
        <is>
          <t>Aberto</t>
        </is>
      </c>
    </row>
    <row r="4">
      <c r="A4" s="8" t="inlineStr">
        <is>
          <t>R3</t>
        </is>
      </c>
      <c r="B4" s="8" t="inlineStr">
        <is>
          <t>Devolução por declaração de usuário final sem assinatura ou NCM divergente</t>
        </is>
      </c>
      <c r="C4" s="8" t="inlineStr">
        <is>
          <t>Alta</t>
        </is>
      </c>
      <c r="D4" s="8" t="inlineStr">
        <is>
          <t>Alto</t>
        </is>
      </c>
      <c r="E4" s="8" t="inlineStr">
        <is>
          <t>Assinatura BCP; uma declaração por processo</t>
        </is>
      </c>
      <c r="F4" s="10" t="inlineStr">
        <is>
          <t>Aberto</t>
        </is>
      </c>
    </row>
    <row r="5">
      <c r="A5" s="8" t="inlineStr">
        <is>
          <t>R4</t>
        </is>
      </c>
      <c r="B5" s="8" t="inlineStr">
        <is>
          <t>NCM da TCU errada: perda do precedente Ex 403 ou multa na DI</t>
        </is>
      </c>
      <c r="C5" s="8" t="inlineStr">
        <is>
          <t>Média</t>
        </is>
      </c>
      <c r="D5" s="8" t="inlineStr">
        <is>
          <t>Alto</t>
        </is>
      </c>
      <c r="E5" s="8" t="inlineStr">
        <is>
          <t>Parecer despachante + Solução de Consulta RFB; padrão 8479.90.90</t>
        </is>
      </c>
      <c r="F5" s="10" t="inlineStr">
        <is>
          <t>Aberto</t>
        </is>
      </c>
    </row>
    <row r="6">
      <c r="A6" s="8" t="inlineStr">
        <is>
          <t>R5</t>
        </is>
      </c>
      <c r="B6" s="8" t="inlineStr">
        <is>
          <t>Sistema de Giro arquivado por já existir Ex 454</t>
        </is>
      </c>
      <c r="C6" s="8" t="inlineStr">
        <is>
          <t>Alta</t>
        </is>
      </c>
      <c r="D6" s="8" t="inlineStr">
        <is>
          <t>Médio</t>
        </is>
      </c>
      <c r="E6" s="8" t="inlineStr">
        <is>
          <t>Cotejo formal antes de protocolar</t>
        </is>
      </c>
      <c r="F6" s="10" t="inlineStr">
        <is>
          <t>Aberto</t>
        </is>
      </c>
    </row>
    <row r="7">
      <c r="A7" s="8" t="inlineStr">
        <is>
          <t>R6</t>
        </is>
      </c>
      <c r="B7" s="8" t="inlineStr">
        <is>
          <t>Contestação na consulta pública</t>
        </is>
      </c>
      <c r="C7" s="8" t="inlineStr">
        <is>
          <t>Média</t>
        </is>
      </c>
      <c r="D7" s="8" t="inlineStr">
        <is>
          <t>Alto</t>
        </is>
      </c>
      <c r="E7" s="8" t="inlineStr">
        <is>
          <t>Descrição TEC com números, atestado ABIMAQ, consultas, laudo CREA, kit de réplica</t>
        </is>
      </c>
      <c r="F7" s="10" t="inlineStr">
        <is>
          <t>Aberto</t>
        </is>
      </c>
    </row>
    <row r="8">
      <c r="A8" s="8" t="inlineStr">
        <is>
          <t>R7</t>
        </is>
      </c>
      <c r="B8" s="8" t="inlineStr">
        <is>
          <t>Números de produtividade sem lastro / divergentes</t>
        </is>
      </c>
      <c r="C8" s="8" t="inlineStr">
        <is>
          <t>Alta</t>
        </is>
      </c>
      <c r="D8" s="8" t="inlineStr">
        <is>
          <t>Médio</t>
        </is>
      </c>
      <c r="E8" s="8" t="inlineStr">
        <is>
          <t>Anexar PVsyst e alinhar tabelas</t>
        </is>
      </c>
      <c r="F8" s="10" t="inlineStr">
        <is>
          <t>Aberto</t>
        </is>
      </c>
    </row>
    <row r="9">
      <c r="A9" s="8" t="inlineStr">
        <is>
          <t>R8</t>
        </is>
      </c>
      <c r="B9" s="8" t="inlineStr">
        <is>
          <t>Embarque em nov/2026 antes da decisão: II cheio</t>
        </is>
      </c>
      <c r="C9" s="8" t="inlineStr">
        <is>
          <t>Alta</t>
        </is>
      </c>
      <c r="D9" s="8" t="inlineStr">
        <is>
          <t>Médio</t>
        </is>
      </c>
      <c r="E9" s="8" t="inlineStr">
        <is>
          <t>Decidir adiar embarque ou assumir II cheio</t>
        </is>
      </c>
      <c r="F9" s="10" t="inlineStr">
        <is>
          <t>Aberto</t>
        </is>
      </c>
    </row>
    <row r="10">
      <c r="A10" s="8" t="inlineStr">
        <is>
          <t>R9</t>
        </is>
      </c>
      <c r="B10" s="8" t="inlineStr">
        <is>
          <t>Reclassificação do painel para 8541.43.00</t>
        </is>
      </c>
      <c r="C10" s="8" t="inlineStr">
        <is>
          <t>Média</t>
        </is>
      </c>
      <c r="D10" s="8" t="inlineStr">
        <is>
          <t>Baixo</t>
        </is>
      </c>
      <c r="E10" s="8" t="inlineStr">
        <is>
          <t>2ª onda com parecer; INMETRO</t>
        </is>
      </c>
      <c r="F10" s="10" t="inlineStr">
        <is>
          <t>Aberto</t>
        </is>
      </c>
    </row>
    <row r="11">
      <c r="A11" s="8" t="inlineStr">
        <is>
          <t>R10</t>
        </is>
      </c>
      <c r="B11" s="8" t="inlineStr">
        <is>
          <t>Impacto no índice de nacionalização / FINAME</t>
        </is>
      </c>
      <c r="C11" s="8" t="inlineStr">
        <is>
          <t>Baixa</t>
        </is>
      </c>
      <c r="D11" s="8" t="inlineStr">
        <is>
          <t>Alto</t>
        </is>
      </c>
      <c r="E11" s="8" t="inlineStr">
        <is>
          <t>Confirmar com BCP/financiador</t>
        </is>
      </c>
      <c r="F11" s="10" t="inlineStr">
        <is>
          <t>Aberto</t>
        </is>
      </c>
    </row>
    <row r="12">
      <c r="A12" s="8" t="inlineStr">
        <is>
          <t>R11</t>
        </is>
      </c>
      <c r="B12" s="8" t="inlineStr">
        <is>
          <t>Contrato Videl × Factiun não assinado</t>
        </is>
      </c>
      <c r="C12" s="8" t="inlineStr">
        <is>
          <t>Média</t>
        </is>
      </c>
      <c r="D12" s="8" t="inlineStr">
        <is>
          <t>Médio</t>
        </is>
      </c>
      <c r="E12" s="8" t="inlineStr">
        <is>
          <t>Assinar antes do protocolo</t>
        </is>
      </c>
      <c r="F12" s="10" t="inlineStr">
        <is>
          <t>Aberto</t>
        </is>
      </c>
    </row>
    <row r="13">
      <c r="A13" s="8" t="inlineStr">
        <is>
          <t>R12</t>
        </is>
      </c>
      <c r="B13" s="8" t="inlineStr">
        <is>
          <t>Perda de prazo de exigência (notificação no e-mail pessoal)</t>
        </is>
      </c>
      <c r="C13" s="8" t="inlineStr">
        <is>
          <t>Média</t>
        </is>
      </c>
      <c r="D13" s="8" t="inlineStr">
        <is>
          <t>Alto</t>
        </is>
      </c>
      <c r="E13" s="8" t="inlineStr">
        <is>
          <t>Encaminhamento + verificação semanal no SEI</t>
        </is>
      </c>
      <c r="F13" s="10" t="inlineStr">
        <is>
          <t>Aberto</t>
        </is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44" customWidth="1" min="4" max="4"/>
    <col width="12" customWidth="1" min="5" max="5"/>
    <col width="14" customWidth="1" min="6" max="6"/>
  </cols>
  <sheetData>
    <row r="1">
      <c r="A1" s="7" t="inlineStr">
        <is>
          <t>Etapa</t>
        </is>
      </c>
      <c r="B1" s="7" t="inlineStr">
        <is>
          <t>Início</t>
        </is>
      </c>
      <c r="C1" s="7" t="inlineStr">
        <is>
          <t>Fim</t>
        </is>
      </c>
      <c r="D1" s="7" t="inlineStr">
        <is>
          <t>Observação</t>
        </is>
      </c>
      <c r="E1" s="7" t="inlineStr">
        <is>
          <t>Status</t>
        </is>
      </c>
      <c r="F1" s="7" t="inlineStr">
        <is>
          <t>Duração (dias)</t>
        </is>
      </c>
    </row>
    <row r="2">
      <c r="A2" s="8" t="inlineStr">
        <is>
          <t>Cadastro SEI (Gearlison)</t>
        </is>
      </c>
      <c r="B2" s="12" t="n">
        <v>46267</v>
      </c>
      <c r="C2" s="12" t="n">
        <v>46274</v>
      </c>
      <c r="D2" s="8" t="inlineStr">
        <is>
          <t>3 a 5 dias úteis</t>
        </is>
      </c>
      <c r="E2" s="10" t="inlineStr">
        <is>
          <t>Pendente</t>
        </is>
      </c>
      <c r="F2" s="8">
        <f>C2-B2</f>
        <v/>
      </c>
    </row>
    <row r="3">
      <c r="A3" s="8" t="inlineStr">
        <is>
          <t>Correções documentais (itens 2 a 7)</t>
        </is>
      </c>
      <c r="B3" s="12" t="n">
        <v>46267</v>
      </c>
      <c r="C3" s="12" t="n">
        <v>46274</v>
      </c>
      <c r="D3" s="8" t="inlineStr">
        <is>
          <t>Factiun + Videl</t>
        </is>
      </c>
      <c r="E3" s="10" t="inlineStr">
        <is>
          <t>Pendente</t>
        </is>
      </c>
      <c r="F3" s="8">
        <f>C3-B3</f>
        <v/>
      </c>
    </row>
    <row r="4">
      <c r="A4" s="8" t="inlineStr">
        <is>
          <t>Protocolo 1ª onda (Amortecedor + TCU)</t>
        </is>
      </c>
      <c r="B4" s="12" t="n">
        <v>46275</v>
      </c>
      <c r="C4" s="12" t="n">
        <v>46280</v>
      </c>
      <c r="D4" s="8" t="inlineStr">
        <is>
          <t>1 processo por NCM</t>
        </is>
      </c>
      <c r="E4" s="10" t="inlineStr">
        <is>
          <t>Pendente</t>
        </is>
      </c>
      <c r="F4" s="8">
        <f>C4-B4</f>
        <v/>
      </c>
    </row>
    <row r="5">
      <c r="A5" s="8" t="inlineStr">
        <is>
          <t>Análise documental MDIC</t>
        </is>
      </c>
      <c r="B5" s="12" t="n">
        <v>46280</v>
      </c>
      <c r="C5" s="12" t="n">
        <v>46310</v>
      </c>
      <c r="D5" s="8" t="inlineStr">
        <is>
          <t>1 a 4 semanas</t>
        </is>
      </c>
      <c r="E5" s="10" t="inlineStr">
        <is>
          <t>Pendente</t>
        </is>
      </c>
      <c r="F5" s="8">
        <f>C5-B5</f>
        <v/>
      </c>
    </row>
    <row r="6">
      <c r="A6" s="8" t="inlineStr">
        <is>
          <t>Consulta pública (30 dias corridos)</t>
        </is>
      </c>
      <c r="B6" s="12" t="n">
        <v>46310</v>
      </c>
      <c r="C6" s="12" t="n">
        <v>46340</v>
      </c>
      <c r="D6" s="8" t="inlineStr">
        <is>
          <t>Réplica em 10 dias úteis via intercorrente</t>
        </is>
      </c>
      <c r="E6" s="10" t="inlineStr">
        <is>
          <t>Pendente</t>
        </is>
      </c>
      <c r="F6" s="8">
        <f>C6-B6</f>
        <v/>
      </c>
    </row>
    <row r="7">
      <c r="A7" s="8" t="inlineStr">
        <is>
          <t>Análise de contestações / CTEx</t>
        </is>
      </c>
      <c r="B7" s="12" t="n">
        <v>46340</v>
      </c>
      <c r="C7" s="12" t="n">
        <v>46387</v>
      </c>
      <c r="D7" s="8" t="inlineStr">
        <is>
          <t>Se houver contestação</t>
        </is>
      </c>
      <c r="E7" s="10" t="inlineStr">
        <is>
          <t>Pendente</t>
        </is>
      </c>
      <c r="F7" s="8">
        <f>C7-B7</f>
        <v/>
      </c>
    </row>
    <row r="8">
      <c r="A8" s="8" t="inlineStr">
        <is>
          <t>Decisão Gecex + DOU</t>
        </is>
      </c>
      <c r="B8" s="12" t="n">
        <v>46357</v>
      </c>
      <c r="C8" s="12" t="n">
        <v>46446</v>
      </c>
      <c r="D8" s="8" t="inlineStr">
        <is>
          <t>Ciclo observado 2026: ~4 meses</t>
        </is>
      </c>
      <c r="E8" s="10" t="inlineStr">
        <is>
          <t>Pendente</t>
        </is>
      </c>
      <c r="F8" s="8">
        <f>C8-B8</f>
        <v/>
      </c>
    </row>
    <row r="9">
      <c r="A9" s="8" t="inlineStr">
        <is>
          <t>2ª onda: painel dedicado / sistema de giro residual</t>
        </is>
      </c>
      <c r="B9" s="12" t="n">
        <v>46285</v>
      </c>
      <c r="C9" s="12" t="n">
        <v>46310</v>
      </c>
      <c r="D9" s="8" t="inlineStr">
        <is>
          <t>Após pareceres</t>
        </is>
      </c>
      <c r="E9" s="10" t="inlineStr">
        <is>
          <t>Pendente</t>
        </is>
      </c>
      <c r="F9" s="8">
        <f>C9-B9</f>
        <v/>
      </c>
    </row>
    <row r="10">
      <c r="A10" s="8" t="inlineStr">
        <is>
          <t>INMETRO painel 45 W</t>
        </is>
      </c>
      <c r="B10" s="12" t="n">
        <v>46280</v>
      </c>
      <c r="C10" s="12" t="n">
        <v>46402</v>
      </c>
      <c r="D10" s="8" t="inlineStr">
        <is>
          <t>60 a 120 dias de laboratório</t>
        </is>
      </c>
      <c r="E10" s="10" t="inlineStr">
        <is>
          <t>Pendente</t>
        </is>
      </c>
      <c r="F10" s="8">
        <f>C10-B10</f>
        <v/>
      </c>
    </row>
    <row r="11">
      <c r="A11" s="8" t="inlineStr">
        <is>
          <t>1º embarque previsto (cartas)</t>
        </is>
      </c>
      <c r="B11" s="12" t="n">
        <v>46327</v>
      </c>
      <c r="C11" s="12" t="n">
        <v>46446</v>
      </c>
      <c r="D11" s="8" t="inlineStr">
        <is>
          <t>Risco: antes da decisão = II cheio</t>
        </is>
      </c>
      <c r="E11" s="10" t="inlineStr">
        <is>
          <t>Atenção</t>
        </is>
      </c>
      <c r="F11" s="8">
        <f>C11-B11</f>
        <v/>
      </c>
    </row>
    <row r="12">
      <c r="A12" s="8" t="inlineStr">
        <is>
          <t>Montagem Boa Hora, Tacaimbó-PE</t>
        </is>
      </c>
      <c r="B12" s="12" t="n">
        <v>46357</v>
      </c>
      <c r="C12" s="12" t="n">
        <v>46752</v>
      </c>
      <c r="D12" s="8" t="inlineStr">
        <is>
          <t>150 MWp, 1.709 trackers</t>
        </is>
      </c>
      <c r="E12" s="10" t="inlineStr">
        <is>
          <t>Previsto</t>
        </is>
      </c>
      <c r="F12" s="8">
        <f>C12-B12</f>
        <v/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2026-09-01T22:11:17Z</dcterms:created>
  <dcterms:modified xsi:type="dcterms:W3CDTF">2026-09-01T22:11:17Z</dcterms:modified>
</cp:coreProperties>
</file>