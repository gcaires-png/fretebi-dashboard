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RE" sheetId="1" state="visible" r:id="rId3"/>
    <sheet name="Premissas" sheetId="2" state="visible" r:id="rId4"/>
    <sheet name="Folha Detalhada" sheetId="3" state="visible" r:id="rId5"/>
    <sheet name="Deciso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<sst xmlns="http://schemas.openxmlformats.org/spreadsheetml/2006/main" count="233" uniqueCount="190">
  <si>
    <t xml:space="preserve">DRE Gerencial — Videl T&amp;I Transportes</t>
  </si>
  <si>
    <t xml:space="preserve">Competencia: agosto/2026 · Regime: Simples Nacional (Anexo III) · Modelo asset-light · Valores mensais</t>
  </si>
  <si>
    <t xml:space="preserve">DEMONSTRACAO DO RESULTADO</t>
  </si>
  <si>
    <t xml:space="preserve">Quadro ATUAL
(hoje, pre-decisao)</t>
  </si>
  <si>
    <t xml:space="preserve">Cenario APROVADO
(decisoes 10/08)</t>
  </si>
  <si>
    <t xml:space="preserve">% AV
(aprovado)</t>
  </si>
  <si>
    <t xml:space="preserve">Plano ORIGINAL
(planilha recebida)</t>
  </si>
  <si>
    <t xml:space="preserve">Δ Aprovado
vs Atual</t>
  </si>
  <si>
    <t xml:space="preserve">Δ Aprovado
vs Original</t>
  </si>
  <si>
    <t xml:space="preserve">APROVADO
Anual (x12)</t>
  </si>
  <si>
    <t xml:space="preserve">RECEITA BRUTA DE SERVICOS DE TRANSPORTE</t>
  </si>
  <si>
    <t xml:space="preserve">    (-) Simples Nacional — DAS</t>
  </si>
  <si>
    <t xml:space="preserve">(=) RECEITA LIQUIDA</t>
  </si>
  <si>
    <t xml:space="preserve">CUSTO DOS SERVICOS PRESTADOS</t>
  </si>
  <si>
    <t xml:space="preserve">    (-) Frete pago a terceiros / agregados</t>
  </si>
  <si>
    <t xml:space="preserve">    (-) Pedagio, GRIS e taxas de descarga</t>
  </si>
  <si>
    <t xml:space="preserve">    (-) Seguro de carga (RCTR-C / RCF-DC)</t>
  </si>
  <si>
    <t xml:space="preserve">(=) CUSTO TOTAL DOS SERVICOS</t>
  </si>
  <si>
    <t xml:space="preserve">(=) LUCRO BRUTO</t>
  </si>
  <si>
    <t xml:space="preserve">DESPESAS OPERACIONAIS</t>
  </si>
  <si>
    <t xml:space="preserve">    (-) Salarios e pro-labore</t>
  </si>
  <si>
    <t xml:space="preserve">    (-) Encargos sobre folha CLT</t>
  </si>
  <si>
    <t xml:space="preserve">    (-) Vale-refeicao</t>
  </si>
  <si>
    <t xml:space="preserve">    (-) Comissoes comerciais</t>
  </si>
  <si>
    <t xml:space="preserve">(=) Total despesas com pessoal</t>
  </si>
  <si>
    <t xml:space="preserve">    (-) Despesas administrativas</t>
  </si>
  <si>
    <t xml:space="preserve">(=) TOTAL DESPESAS OPERACIONAIS</t>
  </si>
  <si>
    <t xml:space="preserve">(=) EBITDA</t>
  </si>
  <si>
    <t xml:space="preserve">    (-) Depreciacao e amortizacao</t>
  </si>
  <si>
    <t xml:space="preserve">(=) EBIT (resultado operacional)</t>
  </si>
  <si>
    <t xml:space="preserve">    (+/-) Resultado financeiro</t>
  </si>
  <si>
    <t xml:space="preserve">(=) LUCRO LIQUIDO</t>
  </si>
  <si>
    <t xml:space="preserve">INDICADORES</t>
  </si>
  <si>
    <t xml:space="preserve">Margem bruta (%)</t>
  </si>
  <si>
    <t xml:space="preserve">Margem EBITDA (%)</t>
  </si>
  <si>
    <t xml:space="preserve">Margem liquida (%)</t>
  </si>
  <si>
    <t xml:space="preserve">Custo de frete / receita (meta: 60% a 62%)</t>
  </si>
  <si>
    <t xml:space="preserve">Folha total / receita (%)</t>
  </si>
  <si>
    <t xml:space="preserve">Receita de equilibrio (break-even, R$/mes)</t>
  </si>
  <si>
    <t xml:space="preserve">Headcount</t>
  </si>
  <si>
    <t xml:space="preserve">Custo total da folha (R$/mes)</t>
  </si>
  <si>
    <t xml:space="preserve">COMO LER — receita, custo de frete e despesas administrativas sao IDENTICOS nas tres colunas. A unica variavel e a folha.</t>
  </si>
  <si>
    <t xml:space="preserve">  Coluna C (ATUAL): o time que esta na empresa hoje, 10/08/2026 — Giovani ainda dentro, nenhuma vaga preenchida.</t>
  </si>
  <si>
    <t xml:space="preserve">  Coluna D (APROVADO): depois das decisoes de hoje — sai o Giovani, entram o Denner e 1 comercial para a matriz (R$ 1.500 + comissao).</t>
  </si>
  <si>
    <t xml:space="preserve">  Coluna F (ORIGINAL): o plano da planilha recebida — todas as vagas preenchidas (Emilly + estagiario do Financeiro) e o Giovani renovado.</t>
  </si>
  <si>
    <t xml:space="preserve">AS DUAS LEITURAS QUE IMPORTAM:</t>
  </si>
  <si>
    <t xml:space="preserve">  Coluna G (Aprovado vs Atual): o quadro aprovado custa R$ 900/mes A MAIS que o time de hoje. E investimento em comercial, nao corte.</t>
  </si>
  <si>
    <t xml:space="preserve">  Coluna H (Aprovado vs Original): as decisoes evitaram R$ 5.400/mes (R$ 64.800/ano) — e evitaram um plano que operaria com EBITDA NEGATIVO.</t>
  </si>
  <si>
    <t xml:space="preserve">CONFIANCA DOS DADOS: Folha = ALTA (planilha oficial). Receita = MEDIA (FreteBI, 67 embarques reais, so 4 meses de historico, jun=37 e jul=24 muito desiguais). Tributos, custo de frete e despesas administrativas = BAIXA (estimativas — ver aba Premissas).</t>
  </si>
  <si>
    <t xml:space="preserve">A margem EBITDA e de ~1%. Um erro de R$ 3.300 nas despesas administrativas ja inverte o sinal do resultado. Esta DRE serve para DECIDIR SOBRE QUADRO — nao para fechar o mes.</t>
  </si>
  <si>
    <t xml:space="preserve">Premissas da DRE — Videl T&amp;I Transportes</t>
  </si>
  <si>
    <t xml:space="preserve">CNPJ 63.147.064/0001-30 · Base: agosto/2026 · Celulas AMARELAS = editar/confirmar com o financeiro</t>
  </si>
  <si>
    <t xml:space="preserve">RECEITA</t>
  </si>
  <si>
    <t xml:space="preserve">Receita bruta de servicos — mensal</t>
  </si>
  <si>
    <t xml:space="preserve">Run-rate jun+jul/26 do FreteBI: 61 embarques x ticket medio R$ 8.604 / 2 meses. Base FreteBI: R$ 576,5 mil e 67 embarques acumulados (abr-jul/26).</t>
  </si>
  <si>
    <t xml:space="preserve">Ticket medio por embarque</t>
  </si>
  <si>
    <t xml:space="preserve">R$ 576.500 / 67 embarques (FreteBI, acumulado abr-jul/26).</t>
  </si>
  <si>
    <t xml:space="preserve">Embarques/mes (implicito)</t>
  </si>
  <si>
    <t xml:space="preserve">Calculado. Confere com jun=37 e jul=24 embarques.</t>
  </si>
  <si>
    <t xml:space="preserve">TRIBUTOS</t>
  </si>
  <si>
    <t xml:space="preserve">Aliquota efetiva Simples Nacional (DAS)</t>
  </si>
  <si>
    <t xml:space="preserve">ESTIMATIVA. Anexo III com troca de ISS por ICMS (LC 123/06 art. 18 §5-E, transporte intermunicipal/interestadual de cargas). 4a faixa, RBT12 ~R$ 3,1 mi: (3.150.000 x 16% - 35.640)/3.150.000 = 14,87%. CONFIRMAR o RBT12 real com a contabilidade — se for menor, a aliquota cai para 11,2%-13,5%.</t>
  </si>
  <si>
    <t xml:space="preserve">CUSTO DOS SERVICOS (modelo asset-light)</t>
  </si>
  <si>
    <t xml:space="preserve">% frete pago a terceiros / agregados</t>
  </si>
  <si>
    <t xml:space="preserve">META DE OURO (CLAUDE.md): 60% a 62% do valor da operacao. Usado 61%, meio da meta.</t>
  </si>
  <si>
    <t xml:space="preserve">% pedagio / GRIS / taxas de descarga</t>
  </si>
  <si>
    <t xml:space="preserve">ESTIMATIVA — confirmar media real por CT-e no Bsoft.</t>
  </si>
  <si>
    <t xml:space="preserve">% seguro de carga (RCTR-C / RCF-DC + ad valorem)</t>
  </si>
  <si>
    <t xml:space="preserve">ESTIMATIVA — confirmar apolice Sompo/PAIVA.</t>
  </si>
  <si>
    <t xml:space="preserve">PESSOAL</t>
  </si>
  <si>
    <t xml:space="preserve">Encargos sobre folha CLT (%)</t>
  </si>
  <si>
    <t xml:space="preserve">Simples Anexo III: a CPP ja esta dentro do DAS. Sobra FGTS 8% + 13o 8,33% + FGTS/13o 0,67% + ferias+1/3 11,11% + FGTS/ferias 0,89% = 29,0%. SE a empresa estiver no Lucro Presumido, trocar para 57,8% (+ INSS patronal 20% + RAT 3% + Terceiros 5,8%).</t>
  </si>
  <si>
    <t xml:space="preserve">Comissao comercial (% sobre receita bruta)</t>
  </si>
  <si>
    <t xml:space="preserve">ESTIMATIVA. O comercial da matriz foi contratado a R$ 1.500 fixo + comissao. CONFIRMAR o percentual e a base (receita bruta x margem bruta).</t>
  </si>
  <si>
    <t xml:space="preserve">DESPESAS ADMINISTRATIVAS (mensal)</t>
  </si>
  <si>
    <t xml:space="preserve">Aluguel, condominio e IPTU</t>
  </si>
  <si>
    <t xml:space="preserve">ESTIMATIVA — substituir pelo realizado do razao contabil.</t>
  </si>
  <si>
    <t xml:space="preserve">Energia, agua, internet e telefonia</t>
  </si>
  <si>
    <t xml:space="preserve">Contabilidade</t>
  </si>
  <si>
    <t xml:space="preserve">Software e TI (Bsoft TMS, Google Workspace, FreteBras)</t>
  </si>
  <si>
    <t xml:space="preserve">Material de escritorio e limpeza</t>
  </si>
  <si>
    <t xml:space="preserve">Viagens, combustivel e deslocamento comercial</t>
  </si>
  <si>
    <t xml:space="preserve">Marketing e prospeccao</t>
  </si>
  <si>
    <t xml:space="preserve">Tarifas bancarias</t>
  </si>
  <si>
    <t xml:space="preserve">Juridico e consultorias</t>
  </si>
  <si>
    <t xml:space="preserve">Outras despesas administrativas</t>
  </si>
  <si>
    <t xml:space="preserve">TOTAL DESPESAS ADMINISTRATIVAS</t>
  </si>
  <si>
    <t xml:space="preserve">ATENCAO: nenhum destes numeros veio de sistema. TODOS sao estimativa de mercado para transportadora asset-light deste porte. E a linha de menor confianca da DRE.</t>
  </si>
  <si>
    <t xml:space="preserve">ABAIXO DO EBITDA</t>
  </si>
  <si>
    <t xml:space="preserve">Depreciacao e amortizacao (mensal)</t>
  </si>
  <si>
    <t xml:space="preserve">Modelo asset-light: a Videl nao tem frota propria (os 76 veiculos sao de terceiros/agregados). Preencher se houver imobilizado (moveis, TI, benfeitorias).</t>
  </si>
  <si>
    <t xml:space="preserve">Resultado financeiro liquido (mensal)</t>
  </si>
  <si>
    <t xml:space="preserve">Negativo = despesa. Preencher com juros e antecipacao de recebiveis. Fonte sugerida: MCP do Banco PJ (extrato real).</t>
  </si>
  <si>
    <t xml:space="preserve">LEGENDA DE CORES</t>
  </si>
  <si>
    <t xml:space="preserve">Celula amarela + texto azul = input, edite aqui</t>
  </si>
  <si>
    <t xml:space="preserve">Texto preto = formula, nao editar</t>
  </si>
  <si>
    <t xml:space="preserve">Texto verde = link para outra aba</t>
  </si>
  <si>
    <t xml:space="preserve">Folha de Pagamento — 3 cenarios</t>
  </si>
  <si>
    <t xml:space="preserve">Fonte: Dados_dos_Funcionarios.xlsx (aba Colaboradores). Colunas I, J e K: 1 = a pessoa entra no cenario, 0 = nao entra.</t>
  </si>
  <si>
    <t xml:space="preserve">Nome</t>
  </si>
  <si>
    <t xml:space="preserve">Cargo</t>
  </si>
  <si>
    <t xml:space="preserve">Contrato</t>
  </si>
  <si>
    <t xml:space="preserve">Decisao 10/08/2026</t>
  </si>
  <si>
    <t xml:space="preserve">Salario / Pro-labore</t>
  </si>
  <si>
    <t xml:space="preserve">Vale-refeicao</t>
  </si>
  <si>
    <t xml:space="preserve">Encargos CLT</t>
  </si>
  <si>
    <t xml:space="preserve">Custo total mensal</t>
  </si>
  <si>
    <t xml:space="preserve">Quadro ATUAL (1/0)</t>
  </si>
  <si>
    <t xml:space="preserve">Cenario APROVADO (1/0)</t>
  </si>
  <si>
    <t xml:space="preserve">Plano ORIGINAL da planilha (1/0)</t>
  </si>
  <si>
    <t xml:space="preserve">Custo ATUAL</t>
  </si>
  <si>
    <t xml:space="preserve">Custo APROVADO</t>
  </si>
  <si>
    <t xml:space="preserve">Custo ORIGINAL</t>
  </si>
  <si>
    <t xml:space="preserve">Karolay Costa</t>
  </si>
  <si>
    <t xml:space="preserve">Coordenadora Administrativa</t>
  </si>
  <si>
    <t xml:space="preserve">CLT</t>
  </si>
  <si>
    <t xml:space="preserve">Mantida</t>
  </si>
  <si>
    <t xml:space="preserve">Gideoni Cantanhede Vieira</t>
  </si>
  <si>
    <t xml:space="preserve">Analista Comercial I</t>
  </si>
  <si>
    <t xml:space="preserve">Mantido</t>
  </si>
  <si>
    <t xml:space="preserve">Hudson Fernando Melonio Mendes</t>
  </si>
  <si>
    <t xml:space="preserve">Assistente Comercial</t>
  </si>
  <si>
    <t xml:space="preserve">Jose Adailton Santos</t>
  </si>
  <si>
    <t xml:space="preserve">Diretor Comercial/Adm</t>
  </si>
  <si>
    <t xml:space="preserve">PJ (sem CNPJ)</t>
  </si>
  <si>
    <t xml:space="preserve">Jhennifer Silva de Freitas</t>
  </si>
  <si>
    <t xml:space="preserve">Assistente Administrativo</t>
  </si>
  <si>
    <t xml:space="preserve">Anderson da Silva Fernandes</t>
  </si>
  <si>
    <t xml:space="preserve">Comercial</t>
  </si>
  <si>
    <t xml:space="preserve">PJ 66.403.599/0001-12</t>
  </si>
  <si>
    <t xml:space="preserve">Manoel Nunes Batista Neto</t>
  </si>
  <si>
    <t xml:space="preserve">Estagiario de TI</t>
  </si>
  <si>
    <t xml:space="preserve">CLT (verificar)</t>
  </si>
  <si>
    <t xml:space="preserve">Giovani Cantanhede Vieira</t>
  </si>
  <si>
    <t xml:space="preserve">Financeiro</t>
  </si>
  <si>
    <t xml:space="preserve">PJ 64.934.976/0001-14</t>
  </si>
  <si>
    <t xml:space="preserve">NAO RENOVAR (venc. 31/07/2026)</t>
  </si>
  <si>
    <t xml:space="preserve">Comercial - Matriz (1 vaga)</t>
  </si>
  <si>
    <t xml:space="preserve">PJ</t>
  </si>
  <si>
    <t xml:space="preserve">CONTRATAR — 1 vaga, R$ 1.500 + comissao</t>
  </si>
  <si>
    <t xml:space="preserve">Denner</t>
  </si>
  <si>
    <t xml:space="preserve">Trainee</t>
  </si>
  <si>
    <t xml:space="preserve">CONTRATAR</t>
  </si>
  <si>
    <t xml:space="preserve">Emilly</t>
  </si>
  <si>
    <t xml:space="preserve">NAO CONTRATAR (adiado)</t>
  </si>
  <si>
    <t xml:space="preserve">Estagiario - Financeiro</t>
  </si>
  <si>
    <t xml:space="preserve">Estagio</t>
  </si>
  <si>
    <t xml:space="preserve">TOTAL</t>
  </si>
  <si>
    <t xml:space="preserve">HEADCOUNT</t>
  </si>
  <si>
    <t xml:space="preserve">QUEBRA POR RUBRICA</t>
  </si>
  <si>
    <t xml:space="preserve">Quadro ATUAL</t>
  </si>
  <si>
    <t xml:space="preserve">Cenario APROVADO</t>
  </si>
  <si>
    <t xml:space="preserve">Plano ORIGINAL</t>
  </si>
  <si>
    <t xml:space="preserve">Salarios e pro-labore</t>
  </si>
  <si>
    <t xml:space="preserve">OS TRES CENARIOS:</t>
  </si>
  <si>
    <t xml:space="preserve">  ATUAL  = quem de fato esta na empresa hoje (10/08/2026), com o Giovani ainda dentro e nenhuma vaga preenchida.</t>
  </si>
  <si>
    <t xml:space="preserve">  APROVADO = quadro depois das decisoes de hoje: sai o Giovani, entram o Denner e 1 comercial para a matriz.</t>
  </si>
  <si>
    <t xml:space="preserve">  ORIGINAL = o plano como estava na planilha recebida: todas as vagas preenchidas (Emilly + estagiario do Financeiro) e o Giovani renovado.</t>
  </si>
  <si>
    <t xml:space="preserve">NOTAS E PENDENCIAS:</t>
  </si>
  <si>
    <t xml:space="preserve">1) Karolay Costa esta sem vale-refeicao na planilha de origem. Se ela recebe VR, preencher F5 (impacto ~R$ 660/mes).</t>
  </si>
  <si>
    <t xml:space="preserve">2) Manoel Nunes: o cargo e 'Estagiario de TI' mas o contrato esta marcado 'CLT'. Se for estagio (Lei 11.788) nao ha encargos — mudar o encargo dele para 0 economiza ~R$ 435/mes. Deixei como CLT (cenario conservador, custo maior).</t>
  </si>
  <si>
    <t xml:space="preserve">3) Jose Adailton Santos esta como 'PJ-' sem CNPJ na planilha. Regularizar o cadastro.</t>
  </si>
  <si>
    <t xml:space="preserve">4) DESLIGADOS recentes (aba 'desligados' da planilha de origem), ja fora de todos os cenarios: Enmerson Carlos Martins (Coordenador de Logistica, desligado 21/07/2026) e Marcos Paulo Hungria Oliveira (Assistente de Logistica, R$ 2.036,60, desligado 03/08/2026).</t>
  </si>
  <si>
    <t xml:space="preserve">5) ATENCAO OPERACIONAL: com esses dois desligamentos a Videl ficou SEM headcount humano em Logistica. A operacao (67 embarques, 1.425 motoristas na base) passa a depender do Moita Rev1 e do comercial. E isso que sustenta a folha enxuta desta DRE.</t>
  </si>
  <si>
    <t xml:space="preserve">6) A rescisao de Marcos Paulo (03/08/2026) e custo NAO-RECORRENTE de agosto/2026 e nao esta na DRE mensal. Lancar a parte.</t>
  </si>
  <si>
    <t xml:space="preserve">7) Sem o Giovani e sem o estagiario, o Financeiro fica sem ninguem dedicado. Definir quem absorve (Karolay ou Jose Adailton).</t>
  </si>
  <si>
    <t xml:space="preserve">Registro de Decisoes de Quadro — 10/08/2026</t>
  </si>
  <si>
    <t xml:space="preserve">As duas ultimas colunas medem baselines DIFERENTES. Some cada uma na sua propria coluna, nunca as duas juntas.</t>
  </si>
  <si>
    <t xml:space="preserve">#</t>
  </si>
  <si>
    <t xml:space="preserve">Pessoa / Vaga</t>
  </si>
  <si>
    <t xml:space="preserve">Decisao</t>
  </si>
  <si>
    <t xml:space="preserve">Impacto na folha
vs. quadro ATUAL</t>
  </si>
  <si>
    <t xml:space="preserve">Custo evitado
vs. plano ORIGINAL</t>
  </si>
  <si>
    <t xml:space="preserve">Observacao</t>
  </si>
  <si>
    <t xml:space="preserve">NAO RENOVAR</t>
  </si>
  <si>
    <t xml:space="preserve">Contrato PJ venceu em 31/07/2026, sem renovacao a partir de agosto. E a unica decisao que reduz a folha em relacao ao time de hoje. ATENCAO: definir quem absorve o Financeiro.</t>
  </si>
  <si>
    <t xml:space="preserve">Contratacao aprovada. Na planilha o cargo aparece como 'Trenier' — assumido Trainee. Ja estava previsto no plano original, entao nao muda nada em relacao a ele.</t>
  </si>
  <si>
    <t xml:space="preserve">Comercial - Matriz</t>
  </si>
  <si>
    <t xml:space="preserve">CONTRATAR (1 vaga)</t>
  </si>
  <si>
    <t xml:space="preserve">Apenas 1 vaga, R$ 1.500 fixo + comissao. A comissao entra na DRE como % da receita (premissa editavel). Ja estava previsto no plano original.</t>
  </si>
  <si>
    <t xml:space="preserve">NAO CONTRATAR</t>
  </si>
  <si>
    <t xml:space="preserve">Salario R$ 1.900 + VR R$ 500. Nunca entrou na folha, entao nao ha impacto vs. o time de hoje — e custo evitado. Vaga adiada, nao cancelada: reavaliar quando a receita passar de R$ 300 mil/mes.</t>
  </si>
  <si>
    <t xml:space="preserve">Vaga adiada. Somada a saida do Giovani, o Financeiro fica sem headcount dedicado — risco a mapear.</t>
  </si>
  <si>
    <t xml:space="preserve">EFEITO MENSAL</t>
  </si>
  <si>
    <t xml:space="preserve">Coluna F confere com 'Δ Aprovado vs Atual' da DRE. Coluna G confere com 'Δ Aprovado vs Original' (com o sinal invertido: custo evitado).</t>
  </si>
  <si>
    <t xml:space="preserve">EFEITO ANUAL (x12)</t>
  </si>
  <si>
    <t xml:space="preserve">POR QUE DUAS COLUNAS DE IMPACTO:</t>
  </si>
  <si>
    <t xml:space="preserve">  A planilha recebida ja trazia o Denner, o comercial da matriz, a Emilly e o estagiario do Financeiro como 'A CONTRATAR', e o Giovani como ativo. Comparar contra ela mede o quanto o plano encolheu.</t>
  </si>
  <si>
    <t xml:space="preserve">  Mas nenhuma dessas 4 vagas existe na folha de hoje. Comparar contra o time real mede o quanto vai sair do caixa a partir de agora.</t>
  </si>
  <si>
    <t xml:space="preserve">  Somar as duas colunas juntas contaria a mesma decisao duas vezes.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</si>
</sst>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&quot;(R$ &quot;#,##0.00\);\-"/>
    <numFmt numFmtId="166" formatCode="0.0%"/>
    <numFmt numFmtId="167" formatCode="&quot;R$ &quot;#,##0;&quot;(R$ &quot;#,##0\);\-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2A4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B2A4A"/>
        <bgColor rgb="FF333333"/>
      </patternFill>
    </fill>
    <fill>
      <patternFill patternType="solid">
        <fgColor rgb="FFEAEAEA"/>
        <bgColor rgb="FFE2EFDA"/>
      </patternFill>
    </fill>
    <fill>
      <patternFill patternType="solid">
        <fgColor rgb="FFDCE6F1"/>
        <bgColor rgb="FFEAEAEA"/>
      </patternFill>
    </fill>
    <fill>
      <patternFill patternType="solid">
        <fgColor rgb="FFE2EFDA"/>
        <bgColor rgb="FFEAEAEA"/>
      </patternFill>
    </fill>
    <fill>
      <patternFill patternType="solid">
        <fgColor rgb="FFFFFF00"/>
        <bgColor rgb="FFFFFF00"/>
      </patternFill>
    </fill>
    <fill>
      <patternFill patternType="solid">
        <fgColor rgb="FFFCE4E4"/>
        <bgColor rgb="FFEAEAEA"/>
      </patternFill>
    </fill>
    <fill>
      <patternFill patternType="solid">
        <fgColor rgb="FFFFF2CC"/>
        <bgColor rgb="FFFCE4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0B2A4A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AEA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2A4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4" min="3" style="0" width="16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8" min="7" style="0" width="15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/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customFormat="false" ht="15" hidden="false" customHeight="false" outlineLevel="0" collapsed="false">
      <c r="B5" s="4" t="s">
        <v>10</v>
      </c>
      <c r="C5" s="5" t="n">
        <f aca="false">Premissas!$C$5</f>
        <v>262400</v>
      </c>
      <c r="D5" s="5" t="n">
        <f aca="false">Premissas!$C$5</f>
        <v>262400</v>
      </c>
      <c r="E5" s="6" t="n">
        <f aca="false">IF(D$5=0,0,D5/D$5)</f>
        <v>1</v>
      </c>
      <c r="F5" s="5" t="n">
        <f aca="false">Premissas!$C$5</f>
        <v>262400</v>
      </c>
      <c r="G5" s="5" t="n">
        <f aca="false">D5-C5</f>
        <v>0</v>
      </c>
      <c r="H5" s="5" t="n">
        <f aca="false">D5-F5</f>
        <v>0</v>
      </c>
      <c r="I5" s="7" t="n">
        <f aca="false">D5*12</f>
        <v>3148800</v>
      </c>
    </row>
    <row r="6" customFormat="false" ht="15" hidden="false" customHeight="false" outlineLevel="0" collapsed="false">
      <c r="B6" s="8" t="s">
        <v>11</v>
      </c>
      <c r="C6" s="9" t="n">
        <f aca="false">-C5*Premissas!$C$10</f>
        <v>-39018.88</v>
      </c>
      <c r="D6" s="9" t="n">
        <f aca="false">-D5*Premissas!$C$10</f>
        <v>-39018.88</v>
      </c>
      <c r="E6" s="10" t="n">
        <f aca="false">IF(D$5=0,0,D6/D$5)</f>
        <v>-0.1487</v>
      </c>
      <c r="F6" s="9" t="n">
        <f aca="false">-F5*Premissas!$C$10</f>
        <v>-39018.88</v>
      </c>
      <c r="G6" s="9" t="n">
        <f aca="false">D6-C6</f>
        <v>0</v>
      </c>
      <c r="H6" s="9" t="n">
        <f aca="false">D6-F6</f>
        <v>0</v>
      </c>
      <c r="I6" s="11" t="n">
        <f aca="false">D6*12</f>
        <v>-468226.56</v>
      </c>
    </row>
    <row r="7" customFormat="false" ht="15" hidden="false" customHeight="false" outlineLevel="0" collapsed="false">
      <c r="B7" s="4" t="s">
        <v>12</v>
      </c>
      <c r="C7" s="5" t="n">
        <f aca="false">C5+C6</f>
        <v>223381.12</v>
      </c>
      <c r="D7" s="5" t="n">
        <f aca="false">D5+D6</f>
        <v>223381.12</v>
      </c>
      <c r="E7" s="6" t="n">
        <f aca="false">IF(D$5=0,0,D7/D$5)</f>
        <v>0.8513</v>
      </c>
      <c r="F7" s="5" t="n">
        <f aca="false">F5+F6</f>
        <v>223381.12</v>
      </c>
      <c r="G7" s="5" t="n">
        <f aca="false">D7-C7</f>
        <v>0</v>
      </c>
      <c r="H7" s="5" t="n">
        <f aca="false">D7-F7</f>
        <v>0</v>
      </c>
      <c r="I7" s="7" t="n">
        <f aca="false">D7*12</f>
        <v>2680573.44</v>
      </c>
    </row>
    <row r="8" customFormat="false" ht="15" hidden="false" customHeight="false" outlineLevel="0" collapsed="false">
      <c r="B8" s="12" t="s">
        <v>13</v>
      </c>
      <c r="C8" s="13"/>
      <c r="D8" s="13"/>
      <c r="E8" s="13"/>
      <c r="F8" s="13"/>
      <c r="G8" s="13"/>
      <c r="H8" s="13"/>
      <c r="I8" s="13"/>
    </row>
    <row r="9" customFormat="false" ht="15" hidden="false" customHeight="false" outlineLevel="0" collapsed="false">
      <c r="B9" s="8" t="s">
        <v>14</v>
      </c>
      <c r="C9" s="9" t="n">
        <f aca="false">-C5*Premissas!$C$13</f>
        <v>-160064</v>
      </c>
      <c r="D9" s="9" t="n">
        <f aca="false">-D5*Premissas!$C$13</f>
        <v>-160064</v>
      </c>
      <c r="E9" s="10" t="n">
        <f aca="false">IF(D$5=0,0,D9/D$5)</f>
        <v>-0.61</v>
      </c>
      <c r="F9" s="9" t="n">
        <f aca="false">-F5*Premissas!$C$13</f>
        <v>-160064</v>
      </c>
      <c r="G9" s="9" t="n">
        <f aca="false">D9-C9</f>
        <v>0</v>
      </c>
      <c r="H9" s="9" t="n">
        <f aca="false">D9-F9</f>
        <v>0</v>
      </c>
      <c r="I9" s="11" t="n">
        <f aca="false">D9*12</f>
        <v>-1920768</v>
      </c>
    </row>
    <row r="10" customFormat="false" ht="15" hidden="false" customHeight="false" outlineLevel="0" collapsed="false">
      <c r="B10" s="8" t="s">
        <v>15</v>
      </c>
      <c r="C10" s="9" t="n">
        <f aca="false">-C5*Premissas!$C$14</f>
        <v>-7872</v>
      </c>
      <c r="D10" s="9" t="n">
        <f aca="false">-D5*Premissas!$C$14</f>
        <v>-7872</v>
      </c>
      <c r="E10" s="10" t="n">
        <f aca="false">IF(D$5=0,0,D10/D$5)</f>
        <v>-0.03</v>
      </c>
      <c r="F10" s="9" t="n">
        <f aca="false">-F5*Premissas!$C$14</f>
        <v>-7872</v>
      </c>
      <c r="G10" s="9" t="n">
        <f aca="false">D10-C10</f>
        <v>0</v>
      </c>
      <c r="H10" s="9" t="n">
        <f aca="false">D10-F10</f>
        <v>0</v>
      </c>
      <c r="I10" s="11" t="n">
        <f aca="false">D10*12</f>
        <v>-94464</v>
      </c>
    </row>
    <row r="11" customFormat="false" ht="15" hidden="false" customHeight="false" outlineLevel="0" collapsed="false">
      <c r="B11" s="8" t="s">
        <v>16</v>
      </c>
      <c r="C11" s="9" t="n">
        <f aca="false">-C5*Premissas!$C$15</f>
        <v>-3148.8</v>
      </c>
      <c r="D11" s="9" t="n">
        <f aca="false">-D5*Premissas!$C$15</f>
        <v>-3148.8</v>
      </c>
      <c r="E11" s="10" t="n">
        <f aca="false">IF(D$5=0,0,D11/D$5)</f>
        <v>-0.012</v>
      </c>
      <c r="F11" s="9" t="n">
        <f aca="false">-F5*Premissas!$C$15</f>
        <v>-3148.8</v>
      </c>
      <c r="G11" s="9" t="n">
        <f aca="false">D11-C11</f>
        <v>0</v>
      </c>
      <c r="H11" s="9" t="n">
        <f aca="false">D11-F11</f>
        <v>0</v>
      </c>
      <c r="I11" s="11" t="n">
        <f aca="false">D11*12</f>
        <v>-37785.6</v>
      </c>
    </row>
    <row r="12" customFormat="false" ht="15" hidden="false" customHeight="false" outlineLevel="0" collapsed="false">
      <c r="B12" s="14" t="s">
        <v>17</v>
      </c>
      <c r="C12" s="15" t="n">
        <f aca="false">SUM(C9:C11)</f>
        <v>-171084.8</v>
      </c>
      <c r="D12" s="15" t="n">
        <f aca="false">SUM(D9:D11)</f>
        <v>-171084.8</v>
      </c>
      <c r="E12" s="16" t="n">
        <f aca="false">IF(D$5=0,0,D12/D$5)</f>
        <v>-0.652</v>
      </c>
      <c r="F12" s="15" t="n">
        <f aca="false">SUM(F9:F11)</f>
        <v>-171084.8</v>
      </c>
      <c r="G12" s="15" t="n">
        <f aca="false">D12-C12</f>
        <v>0</v>
      </c>
      <c r="H12" s="15" t="n">
        <f aca="false">D12-F12</f>
        <v>0</v>
      </c>
      <c r="I12" s="17" t="n">
        <f aca="false">D12*12</f>
        <v>-2053017.6</v>
      </c>
    </row>
    <row r="13" customFormat="false" ht="15" hidden="false" customHeight="false" outlineLevel="0" collapsed="false">
      <c r="B13" s="18" t="s">
        <v>18</v>
      </c>
      <c r="C13" s="19" t="n">
        <f aca="false">C7+C12</f>
        <v>52296.32</v>
      </c>
      <c r="D13" s="19" t="n">
        <f aca="false">D7+D12</f>
        <v>52296.32</v>
      </c>
      <c r="E13" s="20" t="n">
        <f aca="false">IF(D$5=0,0,D13/D$5)</f>
        <v>0.1993</v>
      </c>
      <c r="F13" s="19" t="n">
        <f aca="false">F7+F12</f>
        <v>52296.32</v>
      </c>
      <c r="G13" s="19" t="n">
        <f aca="false">D13-C13</f>
        <v>0</v>
      </c>
      <c r="H13" s="19" t="n">
        <f aca="false">D13-F13</f>
        <v>0</v>
      </c>
      <c r="I13" s="21" t="n">
        <f aca="false">D13*12</f>
        <v>627555.84</v>
      </c>
    </row>
    <row r="14" customFormat="false" ht="15" hidden="false" customHeight="false" outlineLevel="0" collapsed="false">
      <c r="B14" s="12" t="s">
        <v>19</v>
      </c>
      <c r="C14" s="13"/>
      <c r="D14" s="13"/>
      <c r="E14" s="13"/>
      <c r="F14" s="13"/>
      <c r="G14" s="13"/>
      <c r="H14" s="13"/>
      <c r="I14" s="13"/>
    </row>
    <row r="15" customFormat="false" ht="15" hidden="false" customHeight="false" outlineLevel="0" collapsed="false">
      <c r="B15" s="8" t="s">
        <v>20</v>
      </c>
      <c r="C15" s="9" t="n">
        <f aca="false">-'Folha Detalhada'!$B$21</f>
        <v>-21011.4</v>
      </c>
      <c r="D15" s="9" t="n">
        <f aca="false">-'Folha Detalhada'!$C$21</f>
        <v>-21911.4</v>
      </c>
      <c r="E15" s="10" t="n">
        <f aca="false">IF(D$5=0,0,D15/D$5)</f>
        <v>-0.0835038109756098</v>
      </c>
      <c r="F15" s="9" t="n">
        <f aca="false">-'Folha Detalhada'!$D$21</f>
        <v>-26811.4</v>
      </c>
      <c r="G15" s="9" t="n">
        <f aca="false">D15-C15</f>
        <v>-900</v>
      </c>
      <c r="H15" s="9" t="n">
        <f aca="false">D15-F15</f>
        <v>4900</v>
      </c>
      <c r="I15" s="11" t="n">
        <f aca="false">D15*12</f>
        <v>-262936.8</v>
      </c>
    </row>
    <row r="16" customFormat="false" ht="15" hidden="false" customHeight="false" outlineLevel="0" collapsed="false">
      <c r="B16" s="8" t="s">
        <v>21</v>
      </c>
      <c r="C16" s="9" t="n">
        <f aca="false">-'Folha Detalhada'!$B$23</f>
        <v>-4266.306</v>
      </c>
      <c r="D16" s="9" t="n">
        <f aca="false">-'Folha Detalhada'!$C$23</f>
        <v>-4266.306</v>
      </c>
      <c r="E16" s="10" t="n">
        <f aca="false">IF(D$5=0,0,D16/D$5)</f>
        <v>-0.0162587881097561</v>
      </c>
      <c r="F16" s="9" t="n">
        <f aca="false">-'Folha Detalhada'!$D$23</f>
        <v>-4266.306</v>
      </c>
      <c r="G16" s="9" t="n">
        <f aca="false">D16-C16</f>
        <v>0</v>
      </c>
      <c r="H16" s="9" t="n">
        <f aca="false">D16-F16</f>
        <v>0</v>
      </c>
      <c r="I16" s="11" t="n">
        <f aca="false">D16*12</f>
        <v>-51195.672</v>
      </c>
    </row>
    <row r="17" customFormat="false" ht="15" hidden="false" customHeight="false" outlineLevel="0" collapsed="false">
      <c r="B17" s="8" t="s">
        <v>22</v>
      </c>
      <c r="C17" s="9" t="n">
        <f aca="false">-'Folha Detalhada'!$B$22</f>
        <v>-3480</v>
      </c>
      <c r="D17" s="9" t="n">
        <f aca="false">-'Folha Detalhada'!$C$22</f>
        <v>-3480</v>
      </c>
      <c r="E17" s="10" t="n">
        <f aca="false">IF(D$5=0,0,D17/D$5)</f>
        <v>-0.0132621951219512</v>
      </c>
      <c r="F17" s="9" t="n">
        <f aca="false">-'Folha Detalhada'!$D$22</f>
        <v>-3980</v>
      </c>
      <c r="G17" s="9" t="n">
        <f aca="false">D17-C17</f>
        <v>0</v>
      </c>
      <c r="H17" s="9" t="n">
        <f aca="false">D17-F17</f>
        <v>500</v>
      </c>
      <c r="I17" s="11" t="n">
        <f aca="false">D17*12</f>
        <v>-41760</v>
      </c>
    </row>
    <row r="18" customFormat="false" ht="15" hidden="false" customHeight="false" outlineLevel="0" collapsed="false">
      <c r="B18" s="8" t="s">
        <v>23</v>
      </c>
      <c r="C18" s="9" t="n">
        <f aca="false">-C5*Premissas!$C$19</f>
        <v>-2624</v>
      </c>
      <c r="D18" s="9" t="n">
        <f aca="false">-D5*Premissas!$C$19</f>
        <v>-2624</v>
      </c>
      <c r="E18" s="10" t="n">
        <f aca="false">IF(D$5=0,0,D18/D$5)</f>
        <v>-0.01</v>
      </c>
      <c r="F18" s="9" t="n">
        <f aca="false">-F5*Premissas!$C$19</f>
        <v>-2624</v>
      </c>
      <c r="G18" s="9" t="n">
        <f aca="false">D18-C18</f>
        <v>0</v>
      </c>
      <c r="H18" s="9" t="n">
        <f aca="false">D18-F18</f>
        <v>0</v>
      </c>
      <c r="I18" s="11" t="n">
        <f aca="false">D18*12</f>
        <v>-31488</v>
      </c>
    </row>
    <row r="19" customFormat="false" ht="15" hidden="false" customHeight="false" outlineLevel="0" collapsed="false">
      <c r="B19" s="14" t="s">
        <v>24</v>
      </c>
      <c r="C19" s="15" t="n">
        <f aca="false">SUM(C15:C18)</f>
        <v>-31381.706</v>
      </c>
      <c r="D19" s="15" t="n">
        <f aca="false">SUM(D15:D18)</f>
        <v>-32281.706</v>
      </c>
      <c r="E19" s="16" t="n">
        <f aca="false">IF(D$5=0,0,D19/D$5)</f>
        <v>-0.123024794207317</v>
      </c>
      <c r="F19" s="15" t="n">
        <f aca="false">SUM(F15:F18)</f>
        <v>-37681.706</v>
      </c>
      <c r="G19" s="15" t="n">
        <f aca="false">D19-C19</f>
        <v>-900</v>
      </c>
      <c r="H19" s="15" t="n">
        <f aca="false">D19-F19</f>
        <v>5400</v>
      </c>
      <c r="I19" s="17" t="n">
        <f aca="false">D19*12</f>
        <v>-387380.472</v>
      </c>
    </row>
    <row r="20" customFormat="false" ht="15" hidden="false" customHeight="false" outlineLevel="0" collapsed="false">
      <c r="B20" s="8" t="s">
        <v>25</v>
      </c>
      <c r="C20" s="9" t="n">
        <f aca="false">-Premissas!$C$32</f>
        <v>-16700</v>
      </c>
      <c r="D20" s="9" t="n">
        <f aca="false">-Premissas!$C$32</f>
        <v>-16700</v>
      </c>
      <c r="E20" s="10" t="n">
        <f aca="false">IF(D$5=0,0,D20/D$5)</f>
        <v>-0.0636432926829268</v>
      </c>
      <c r="F20" s="9" t="n">
        <f aca="false">-Premissas!$C$32</f>
        <v>-16700</v>
      </c>
      <c r="G20" s="9" t="n">
        <f aca="false">D20-C20</f>
        <v>0</v>
      </c>
      <c r="H20" s="9" t="n">
        <f aca="false">D20-F20</f>
        <v>0</v>
      </c>
      <c r="I20" s="11" t="n">
        <f aca="false">D20*12</f>
        <v>-200400</v>
      </c>
    </row>
    <row r="21" customFormat="false" ht="15" hidden="false" customHeight="false" outlineLevel="0" collapsed="false">
      <c r="B21" s="14" t="s">
        <v>26</v>
      </c>
      <c r="C21" s="15" t="n">
        <f aca="false">C19+C20</f>
        <v>-48081.706</v>
      </c>
      <c r="D21" s="15" t="n">
        <f aca="false">D19+D20</f>
        <v>-48981.706</v>
      </c>
      <c r="E21" s="16" t="n">
        <f aca="false">IF(D$5=0,0,D21/D$5)</f>
        <v>-0.186668086890244</v>
      </c>
      <c r="F21" s="15" t="n">
        <f aca="false">F19+F20</f>
        <v>-54381.706</v>
      </c>
      <c r="G21" s="15" t="n">
        <f aca="false">D21-C21</f>
        <v>-900</v>
      </c>
      <c r="H21" s="15" t="n">
        <f aca="false">D21-F21</f>
        <v>5399.99999999999</v>
      </c>
      <c r="I21" s="17" t="n">
        <f aca="false">D21*12</f>
        <v>-587780.472</v>
      </c>
    </row>
    <row r="22" customFormat="false" ht="15" hidden="false" customHeight="false" outlineLevel="0" collapsed="false">
      <c r="B22" s="18" t="s">
        <v>27</v>
      </c>
      <c r="C22" s="19" t="n">
        <f aca="false">C13+C21</f>
        <v>4214.614</v>
      </c>
      <c r="D22" s="19" t="n">
        <f aca="false">D13+D21</f>
        <v>3314.614</v>
      </c>
      <c r="E22" s="20" t="n">
        <f aca="false">IF(D$5=0,0,D22/D$5)</f>
        <v>0.0126319131097561</v>
      </c>
      <c r="F22" s="19" t="n">
        <f aca="false">F13+F21</f>
        <v>-2085.38599999999</v>
      </c>
      <c r="G22" s="19" t="n">
        <f aca="false">D22-C22</f>
        <v>-900</v>
      </c>
      <c r="H22" s="19" t="n">
        <f aca="false">D22-F22</f>
        <v>5399.99999999999</v>
      </c>
      <c r="I22" s="21" t="n">
        <f aca="false">D22*12</f>
        <v>39775.368</v>
      </c>
    </row>
    <row r="23" customFormat="false" ht="15" hidden="false" customHeight="false" outlineLevel="0" collapsed="false">
      <c r="B23" s="8" t="s">
        <v>28</v>
      </c>
      <c r="C23" s="9" t="n">
        <f aca="false">-Premissas!$C$35</f>
        <v>-0</v>
      </c>
      <c r="D23" s="9" t="n">
        <f aca="false">-Premissas!$C$35</f>
        <v>-0</v>
      </c>
      <c r="E23" s="10" t="n">
        <f aca="false">IF(D$5=0,0,D23/D$5)</f>
        <v>-0</v>
      </c>
      <c r="F23" s="9" t="n">
        <f aca="false">-Premissas!$C$35</f>
        <v>-0</v>
      </c>
      <c r="G23" s="9" t="n">
        <f aca="false">D23-C23</f>
        <v>0</v>
      </c>
      <c r="H23" s="9" t="n">
        <f aca="false">D23-F23</f>
        <v>0</v>
      </c>
      <c r="I23" s="11" t="n">
        <f aca="false">D23*12</f>
        <v>-0</v>
      </c>
    </row>
    <row r="24" customFormat="false" ht="15" hidden="false" customHeight="false" outlineLevel="0" collapsed="false">
      <c r="B24" s="14" t="s">
        <v>29</v>
      </c>
      <c r="C24" s="15" t="n">
        <f aca="false">C22+C23</f>
        <v>4214.614</v>
      </c>
      <c r="D24" s="15" t="n">
        <f aca="false">D22+D23</f>
        <v>3314.614</v>
      </c>
      <c r="E24" s="16" t="n">
        <f aca="false">IF(D$5=0,0,D24/D$5)</f>
        <v>0.0126319131097561</v>
      </c>
      <c r="F24" s="15" t="n">
        <f aca="false">F22+F23</f>
        <v>-2085.38599999999</v>
      </c>
      <c r="G24" s="15" t="n">
        <f aca="false">D24-C24</f>
        <v>-900</v>
      </c>
      <c r="H24" s="15" t="n">
        <f aca="false">D24-F24</f>
        <v>5399.99999999999</v>
      </c>
      <c r="I24" s="17" t="n">
        <f aca="false">D24*12</f>
        <v>39775.368</v>
      </c>
    </row>
    <row r="25" customFormat="false" ht="15" hidden="false" customHeight="false" outlineLevel="0" collapsed="false">
      <c r="B25" s="8" t="s">
        <v>30</v>
      </c>
      <c r="C25" s="9" t="n">
        <f aca="false">Premissas!$C$36</f>
        <v>0</v>
      </c>
      <c r="D25" s="9" t="n">
        <f aca="false">Premissas!$C$36</f>
        <v>0</v>
      </c>
      <c r="E25" s="10" t="n">
        <f aca="false">IF(D$5=0,0,D25/D$5)</f>
        <v>0</v>
      </c>
      <c r="F25" s="9" t="n">
        <f aca="false">Premissas!$C$36</f>
        <v>0</v>
      </c>
      <c r="G25" s="9" t="n">
        <f aca="false">D25-C25</f>
        <v>0</v>
      </c>
      <c r="H25" s="9" t="n">
        <f aca="false">D25-F25</f>
        <v>0</v>
      </c>
      <c r="I25" s="11" t="n">
        <f aca="false">D25*12</f>
        <v>0</v>
      </c>
    </row>
    <row r="26" customFormat="false" ht="15" hidden="false" customHeight="false" outlineLevel="0" collapsed="false">
      <c r="B26" s="22" t="s">
        <v>31</v>
      </c>
      <c r="C26" s="23" t="n">
        <f aca="false">C24+C25</f>
        <v>4214.614</v>
      </c>
      <c r="D26" s="23" t="n">
        <f aca="false">D24+D25</f>
        <v>3314.614</v>
      </c>
      <c r="E26" s="24" t="n">
        <f aca="false">IF(D$5=0,0,D26/D$5)</f>
        <v>0.0126319131097561</v>
      </c>
      <c r="F26" s="23" t="n">
        <f aca="false">F24+F25</f>
        <v>-2085.38599999999</v>
      </c>
      <c r="G26" s="23" t="n">
        <f aca="false">D26-C26</f>
        <v>-900</v>
      </c>
      <c r="H26" s="23" t="n">
        <f aca="false">D26-F26</f>
        <v>5399.99999999999</v>
      </c>
      <c r="I26" s="25" t="n">
        <f aca="false">D26*12</f>
        <v>39775.368</v>
      </c>
    </row>
    <row r="28" customFormat="false" ht="15" hidden="false" customHeight="false" outlineLevel="0" collapsed="false">
      <c r="B28" s="12" t="s">
        <v>32</v>
      </c>
      <c r="C28" s="13"/>
      <c r="D28" s="13"/>
      <c r="E28" s="13"/>
      <c r="F28" s="13"/>
      <c r="G28" s="13"/>
      <c r="H28" s="13"/>
      <c r="I28" s="13"/>
    </row>
    <row r="29" customFormat="false" ht="15" hidden="false" customHeight="false" outlineLevel="0" collapsed="false">
      <c r="B29" s="8" t="s">
        <v>33</v>
      </c>
      <c r="C29" s="10" t="n">
        <f aca="false">IF(C5=0,0,C13/C5)</f>
        <v>0.1993</v>
      </c>
      <c r="D29" s="10" t="n">
        <f aca="false">IF(D5=0,0,D13/D5)</f>
        <v>0.1993</v>
      </c>
      <c r="E29" s="26"/>
      <c r="F29" s="10" t="n">
        <f aca="false">IF(F5=0,0,F13/F5)</f>
        <v>0.1993</v>
      </c>
      <c r="G29" s="10" t="n">
        <f aca="false">D29-C29</f>
        <v>0</v>
      </c>
      <c r="H29" s="10" t="n">
        <f aca="false">D29-F29</f>
        <v>0</v>
      </c>
      <c r="I29" s="26"/>
    </row>
    <row r="30" customFormat="false" ht="15" hidden="false" customHeight="false" outlineLevel="0" collapsed="false">
      <c r="B30" s="8" t="s">
        <v>34</v>
      </c>
      <c r="C30" s="10" t="n">
        <f aca="false">IF(C5=0,0,C22/C5)</f>
        <v>0.0160617911585366</v>
      </c>
      <c r="D30" s="10" t="n">
        <f aca="false">IF(D5=0,0,D22/D5)</f>
        <v>0.0126319131097561</v>
      </c>
      <c r="E30" s="26"/>
      <c r="F30" s="10" t="n">
        <f aca="false">IF(F5=0,0,F22/F5)</f>
        <v>-0.0079473551829268</v>
      </c>
      <c r="G30" s="10" t="n">
        <f aca="false">D30-C30</f>
        <v>-0.00342987804878049</v>
      </c>
      <c r="H30" s="10" t="n">
        <f aca="false">D30-F30</f>
        <v>0.0205792682926829</v>
      </c>
      <c r="I30" s="26"/>
    </row>
    <row r="31" customFormat="false" ht="15" hidden="false" customHeight="false" outlineLevel="0" collapsed="false">
      <c r="B31" s="8" t="s">
        <v>35</v>
      </c>
      <c r="C31" s="10" t="n">
        <f aca="false">IF(C5=0,0,C26/C5)</f>
        <v>0.0160617911585366</v>
      </c>
      <c r="D31" s="10" t="n">
        <f aca="false">IF(D5=0,0,D26/D5)</f>
        <v>0.0126319131097561</v>
      </c>
      <c r="E31" s="26"/>
      <c r="F31" s="10" t="n">
        <f aca="false">IF(F5=0,0,F26/F5)</f>
        <v>-0.0079473551829268</v>
      </c>
      <c r="G31" s="10" t="n">
        <f aca="false">D31-C31</f>
        <v>-0.00342987804878049</v>
      </c>
      <c r="H31" s="10" t="n">
        <f aca="false">D31-F31</f>
        <v>0.0205792682926829</v>
      </c>
      <c r="I31" s="26"/>
    </row>
    <row r="32" customFormat="false" ht="15" hidden="false" customHeight="false" outlineLevel="0" collapsed="false">
      <c r="B32" s="8" t="s">
        <v>36</v>
      </c>
      <c r="C32" s="10" t="n">
        <f aca="false">IF(C5=0,0,-C9/C5)</f>
        <v>0.61</v>
      </c>
      <c r="D32" s="10" t="n">
        <f aca="false">IF(D5=0,0,-D9/D5)</f>
        <v>0.61</v>
      </c>
      <c r="E32" s="26"/>
      <c r="F32" s="10" t="n">
        <f aca="false">IF(F5=0,0,-F9/F5)</f>
        <v>0.61</v>
      </c>
      <c r="G32" s="10" t="n">
        <f aca="false">D32-C32</f>
        <v>0</v>
      </c>
      <c r="H32" s="10" t="n">
        <f aca="false">D32-F32</f>
        <v>0</v>
      </c>
      <c r="I32" s="14" t="str">
        <f aca="false">IF(AND(D32&gt;=0.6,D32&lt;=0.62),"DENTRO DA META","FORA DA META")</f>
        <v>DENTRO DA META</v>
      </c>
    </row>
    <row r="33" customFormat="false" ht="15" hidden="false" customHeight="false" outlineLevel="0" collapsed="false">
      <c r="B33" s="8" t="s">
        <v>37</v>
      </c>
      <c r="C33" s="10" t="n">
        <f aca="false">IF(C5=0,0,-(C15+C16+C17)/C5)</f>
        <v>0.109594916158537</v>
      </c>
      <c r="D33" s="10" t="n">
        <f aca="false">IF(D5=0,0,-(D15+D16+D17)/D5)</f>
        <v>0.113024794207317</v>
      </c>
      <c r="E33" s="26"/>
      <c r="F33" s="10" t="n">
        <f aca="false">IF(F5=0,0,-(F15+F16+F17)/F5)</f>
        <v>0.1336040625</v>
      </c>
      <c r="G33" s="10" t="n">
        <f aca="false">D33-C33</f>
        <v>0.00342987804878049</v>
      </c>
      <c r="H33" s="10" t="n">
        <f aca="false">D33-F33</f>
        <v>-0.0205792682926829</v>
      </c>
      <c r="I33" s="26"/>
    </row>
    <row r="34" customFormat="false" ht="15" hidden="false" customHeight="false" outlineLevel="0" collapsed="false">
      <c r="B34" s="8" t="s">
        <v>38</v>
      </c>
      <c r="C34" s="9" t="n">
        <f aca="false">IF(C29=0,0,(-C21-C23)/C29)</f>
        <v>241252.915203211</v>
      </c>
      <c r="D34" s="9" t="n">
        <f aca="false">IF(D29=0,0,(-D21-D23)/D29)</f>
        <v>245768.720521826</v>
      </c>
      <c r="E34" s="26"/>
      <c r="F34" s="9" t="n">
        <f aca="false">IF(F29=0,0,(-F21-F23)/F29)</f>
        <v>272863.552433517</v>
      </c>
      <c r="G34" s="9" t="n">
        <f aca="false">D34-C34</f>
        <v>4515.80531861517</v>
      </c>
      <c r="H34" s="9" t="n">
        <f aca="false">D34-F34</f>
        <v>-27094.8319116909</v>
      </c>
      <c r="I34" s="16" t="n">
        <f aca="false">IF(D5=0,0,D34/D5)</f>
        <v>0.936618599549643</v>
      </c>
    </row>
    <row r="35" customFormat="false" ht="15" hidden="false" customHeight="false" outlineLevel="0" collapsed="false">
      <c r="B35" s="8" t="s">
        <v>39</v>
      </c>
      <c r="C35" s="27" t="n">
        <f aca="false">'Folha Detalhada'!$L$18</f>
        <v>8</v>
      </c>
      <c r="D35" s="27" t="n">
        <f aca="false">'Folha Detalhada'!$M$18</f>
        <v>9</v>
      </c>
      <c r="E35" s="26"/>
      <c r="F35" s="27" t="n">
        <f aca="false">'Folha Detalhada'!$N$18</f>
        <v>12</v>
      </c>
      <c r="G35" s="27" t="n">
        <f aca="false">D35-C35</f>
        <v>1</v>
      </c>
      <c r="H35" s="27" t="n">
        <f aca="false">D35-F35</f>
        <v>-3</v>
      </c>
      <c r="I35" s="26"/>
    </row>
    <row r="36" customFormat="false" ht="15" hidden="false" customHeight="false" outlineLevel="0" collapsed="false">
      <c r="B36" s="8" t="s">
        <v>40</v>
      </c>
      <c r="C36" s="9" t="n">
        <f aca="false">-(C15+C16+C17)</f>
        <v>28757.706</v>
      </c>
      <c r="D36" s="9" t="n">
        <f aca="false">-(D15+D16+D17)</f>
        <v>29657.706</v>
      </c>
      <c r="E36" s="26"/>
      <c r="F36" s="9" t="n">
        <f aca="false">-(F15+F16+F17)</f>
        <v>35057.706</v>
      </c>
      <c r="G36" s="9" t="n">
        <f aca="false">D36-C36</f>
        <v>900</v>
      </c>
      <c r="H36" s="9" t="n">
        <f aca="false">D36-F36</f>
        <v>-5400</v>
      </c>
      <c r="I36" s="26"/>
    </row>
    <row r="39" customFormat="false" ht="15" hidden="false" customHeight="false" outlineLevel="0" collapsed="false">
      <c r="B39" s="28" t="s">
        <v>41</v>
      </c>
    </row>
    <row r="40" customFormat="false" ht="15" hidden="false" customHeight="false" outlineLevel="0" collapsed="false">
      <c r="B40" s="28" t="s">
        <v>42</v>
      </c>
    </row>
    <row r="41" customFormat="false" ht="15" hidden="false" customHeight="false" outlineLevel="0" collapsed="false">
      <c r="B41" s="28" t="s">
        <v>43</v>
      </c>
    </row>
    <row r="42" customFormat="false" ht="15" hidden="false" customHeight="false" outlineLevel="0" collapsed="false">
      <c r="B42" s="28" t="s">
        <v>44</v>
      </c>
    </row>
    <row r="43" customFormat="false" ht="15" hidden="false" customHeight="false" outlineLevel="0" collapsed="false">
      <c r="B43" s="28"/>
    </row>
    <row r="44" customFormat="false" ht="15" hidden="false" customHeight="false" outlineLevel="0" collapsed="false">
      <c r="B44" s="29" t="s">
        <v>45</v>
      </c>
    </row>
    <row r="45" customFormat="false" ht="15" hidden="false" customHeight="false" outlineLevel="0" collapsed="false">
      <c r="B45" s="28" t="s">
        <v>46</v>
      </c>
    </row>
    <row r="46" customFormat="false" ht="15" hidden="false" customHeight="false" outlineLevel="0" collapsed="false">
      <c r="B46" s="28" t="s">
        <v>47</v>
      </c>
    </row>
    <row r="47" customFormat="false" ht="15" hidden="false" customHeight="false" outlineLevel="0" collapsed="false">
      <c r="B47" s="28"/>
    </row>
    <row r="48" customFormat="false" ht="15" hidden="false" customHeight="false" outlineLevel="0" collapsed="false">
      <c r="B48" s="28" t="s">
        <v>48</v>
      </c>
    </row>
    <row r="49" customFormat="false" ht="15" hidden="false" customHeight="false" outlineLevel="0" collapsed="false">
      <c r="B49" s="28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66"/>
  </cols>
  <sheetData>
    <row r="1" customFormat="false" ht="17.35" hidden="false" customHeight="fals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4" customFormat="false" ht="15" hidden="false" customHeight="false" outlineLevel="0" collapsed="false">
      <c r="B4" s="30" t="s">
        <v>52</v>
      </c>
      <c r="C4" s="31"/>
      <c r="D4" s="31"/>
    </row>
    <row r="5" customFormat="false" ht="30" hidden="false" customHeight="true" outlineLevel="0" collapsed="false">
      <c r="B5" s="32" t="s">
        <v>53</v>
      </c>
      <c r="C5" s="33" t="n">
        <v>262400</v>
      </c>
      <c r="D5" s="34" t="s">
        <v>54</v>
      </c>
    </row>
    <row r="6" customFormat="false" ht="30" hidden="false" customHeight="true" outlineLevel="0" collapsed="false">
      <c r="B6" s="32" t="s">
        <v>55</v>
      </c>
      <c r="C6" s="33" t="n">
        <v>8604</v>
      </c>
      <c r="D6" s="34" t="s">
        <v>56</v>
      </c>
    </row>
    <row r="7" customFormat="false" ht="30" hidden="false" customHeight="true" outlineLevel="0" collapsed="false">
      <c r="B7" s="32" t="s">
        <v>57</v>
      </c>
      <c r="C7" s="27" t="n">
        <f aca="false">ROUND(Premissas!$C$5/Premissas!$C$6,0)</f>
        <v>30</v>
      </c>
      <c r="D7" s="34" t="s">
        <v>58</v>
      </c>
    </row>
    <row r="9" customFormat="false" ht="15" hidden="false" customHeight="false" outlineLevel="0" collapsed="false">
      <c r="B9" s="30" t="s">
        <v>59</v>
      </c>
      <c r="C9" s="31"/>
      <c r="D9" s="31"/>
    </row>
    <row r="10" customFormat="false" ht="30" hidden="false" customHeight="true" outlineLevel="0" collapsed="false">
      <c r="B10" s="32" t="s">
        <v>60</v>
      </c>
      <c r="C10" s="35" t="n">
        <v>0.1487</v>
      </c>
      <c r="D10" s="34" t="s">
        <v>61</v>
      </c>
    </row>
    <row r="12" customFormat="false" ht="15" hidden="false" customHeight="false" outlineLevel="0" collapsed="false">
      <c r="B12" s="30" t="s">
        <v>62</v>
      </c>
      <c r="C12" s="31"/>
      <c r="D12" s="31"/>
    </row>
    <row r="13" customFormat="false" ht="30" hidden="false" customHeight="true" outlineLevel="0" collapsed="false">
      <c r="B13" s="32" t="s">
        <v>63</v>
      </c>
      <c r="C13" s="35" t="n">
        <v>0.61</v>
      </c>
      <c r="D13" s="34" t="s">
        <v>64</v>
      </c>
    </row>
    <row r="14" customFormat="false" ht="30" hidden="false" customHeight="true" outlineLevel="0" collapsed="false">
      <c r="B14" s="32" t="s">
        <v>65</v>
      </c>
      <c r="C14" s="35" t="n">
        <v>0.03</v>
      </c>
      <c r="D14" s="34" t="s">
        <v>66</v>
      </c>
    </row>
    <row r="15" customFormat="false" ht="30" hidden="false" customHeight="true" outlineLevel="0" collapsed="false">
      <c r="B15" s="32" t="s">
        <v>67</v>
      </c>
      <c r="C15" s="35" t="n">
        <v>0.012</v>
      </c>
      <c r="D15" s="34" t="s">
        <v>68</v>
      </c>
    </row>
    <row r="17" customFormat="false" ht="15" hidden="false" customHeight="false" outlineLevel="0" collapsed="false">
      <c r="B17" s="30" t="s">
        <v>69</v>
      </c>
      <c r="C17" s="31"/>
      <c r="D17" s="31"/>
    </row>
    <row r="18" customFormat="false" ht="30" hidden="false" customHeight="true" outlineLevel="0" collapsed="false">
      <c r="B18" s="32" t="s">
        <v>70</v>
      </c>
      <c r="C18" s="35" t="n">
        <v>0.29</v>
      </c>
      <c r="D18" s="34" t="s">
        <v>71</v>
      </c>
    </row>
    <row r="19" customFormat="false" ht="30" hidden="false" customHeight="true" outlineLevel="0" collapsed="false">
      <c r="B19" s="32" t="s">
        <v>72</v>
      </c>
      <c r="C19" s="35" t="n">
        <v>0.01</v>
      </c>
      <c r="D19" s="34" t="s">
        <v>73</v>
      </c>
    </row>
    <row r="21" customFormat="false" ht="15" hidden="false" customHeight="false" outlineLevel="0" collapsed="false">
      <c r="B21" s="30" t="s">
        <v>74</v>
      </c>
      <c r="C21" s="31"/>
      <c r="D21" s="31"/>
    </row>
    <row r="22" customFormat="false" ht="15" hidden="false" customHeight="false" outlineLevel="0" collapsed="false">
      <c r="B22" s="32" t="s">
        <v>75</v>
      </c>
      <c r="C22" s="33" t="n">
        <v>4500</v>
      </c>
      <c r="D22" s="28" t="s">
        <v>76</v>
      </c>
    </row>
    <row r="23" customFormat="false" ht="15" hidden="false" customHeight="false" outlineLevel="0" collapsed="false">
      <c r="B23" s="32" t="s">
        <v>77</v>
      </c>
      <c r="C23" s="33" t="n">
        <v>1800</v>
      </c>
      <c r="D23" s="28" t="s">
        <v>76</v>
      </c>
    </row>
    <row r="24" customFormat="false" ht="15" hidden="false" customHeight="false" outlineLevel="0" collapsed="false">
      <c r="B24" s="32" t="s">
        <v>78</v>
      </c>
      <c r="C24" s="33" t="n">
        <v>2500</v>
      </c>
      <c r="D24" s="28" t="s">
        <v>76</v>
      </c>
    </row>
    <row r="25" customFormat="false" ht="15" hidden="false" customHeight="false" outlineLevel="0" collapsed="false">
      <c r="B25" s="32" t="s">
        <v>79</v>
      </c>
      <c r="C25" s="33" t="n">
        <v>1500</v>
      </c>
      <c r="D25" s="28" t="s">
        <v>76</v>
      </c>
    </row>
    <row r="26" customFormat="false" ht="15" hidden="false" customHeight="false" outlineLevel="0" collapsed="false">
      <c r="B26" s="32" t="s">
        <v>80</v>
      </c>
      <c r="C26" s="33" t="n">
        <v>800</v>
      </c>
      <c r="D26" s="28" t="s">
        <v>76</v>
      </c>
    </row>
    <row r="27" customFormat="false" ht="15" hidden="false" customHeight="false" outlineLevel="0" collapsed="false">
      <c r="B27" s="32" t="s">
        <v>81</v>
      </c>
      <c r="C27" s="33" t="n">
        <v>2000</v>
      </c>
      <c r="D27" s="28" t="s">
        <v>76</v>
      </c>
    </row>
    <row r="28" customFormat="false" ht="15" hidden="false" customHeight="false" outlineLevel="0" collapsed="false">
      <c r="B28" s="32" t="s">
        <v>82</v>
      </c>
      <c r="C28" s="33" t="n">
        <v>1000</v>
      </c>
      <c r="D28" s="28" t="s">
        <v>76</v>
      </c>
    </row>
    <row r="29" customFormat="false" ht="15" hidden="false" customHeight="false" outlineLevel="0" collapsed="false">
      <c r="B29" s="32" t="s">
        <v>83</v>
      </c>
      <c r="C29" s="33" t="n">
        <v>600</v>
      </c>
      <c r="D29" s="28" t="s">
        <v>76</v>
      </c>
    </row>
    <row r="30" customFormat="false" ht="15" hidden="false" customHeight="false" outlineLevel="0" collapsed="false">
      <c r="B30" s="32" t="s">
        <v>84</v>
      </c>
      <c r="C30" s="33" t="n">
        <v>1000</v>
      </c>
      <c r="D30" s="28" t="s">
        <v>76</v>
      </c>
    </row>
    <row r="31" customFormat="false" ht="15" hidden="false" customHeight="false" outlineLevel="0" collapsed="false">
      <c r="B31" s="32" t="s">
        <v>85</v>
      </c>
      <c r="C31" s="33" t="n">
        <v>1000</v>
      </c>
      <c r="D31" s="28" t="s">
        <v>76</v>
      </c>
    </row>
    <row r="32" customFormat="false" ht="30" hidden="false" customHeight="true" outlineLevel="0" collapsed="false">
      <c r="B32" s="29" t="s">
        <v>86</v>
      </c>
      <c r="C32" s="5" t="n">
        <f aca="false">SUM(C22:C31)</f>
        <v>16700</v>
      </c>
      <c r="D32" s="34" t="s">
        <v>87</v>
      </c>
    </row>
    <row r="34" customFormat="false" ht="15" hidden="false" customHeight="false" outlineLevel="0" collapsed="false">
      <c r="B34" s="30" t="s">
        <v>88</v>
      </c>
      <c r="C34" s="31"/>
      <c r="D34" s="31"/>
    </row>
    <row r="35" customFormat="false" ht="30" hidden="false" customHeight="true" outlineLevel="0" collapsed="false">
      <c r="B35" s="32" t="s">
        <v>89</v>
      </c>
      <c r="C35" s="33" t="n">
        <v>0</v>
      </c>
      <c r="D35" s="34" t="s">
        <v>90</v>
      </c>
    </row>
    <row r="36" customFormat="false" ht="30" hidden="false" customHeight="true" outlineLevel="0" collapsed="false">
      <c r="B36" s="32" t="s">
        <v>91</v>
      </c>
      <c r="C36" s="33" t="n">
        <v>0</v>
      </c>
      <c r="D36" s="34" t="s">
        <v>92</v>
      </c>
    </row>
    <row r="38" customFormat="false" ht="15" hidden="false" customHeight="false" outlineLevel="0" collapsed="false">
      <c r="B38" s="29" t="s">
        <v>93</v>
      </c>
    </row>
    <row r="39" customFormat="false" ht="15" hidden="false" customHeight="false" outlineLevel="0" collapsed="false">
      <c r="B39" s="36" t="s">
        <v>94</v>
      </c>
    </row>
    <row r="40" customFormat="false" ht="15" hidden="false" customHeight="false" outlineLevel="0" collapsed="false">
      <c r="B40" s="32" t="s">
        <v>95</v>
      </c>
    </row>
    <row r="41" customFormat="false" ht="15" hidden="false" customHeight="false" outlineLevel="0" collapsed="false">
      <c r="B41" s="37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6"/>
    <col collapsed="false" customWidth="true" hidden="false" outlineLevel="0" max="5" min="5" style="0" width="15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10" min="9" style="0" width="12"/>
    <col collapsed="false" customWidth="true" hidden="false" outlineLevel="0" max="11" min="11" style="0" width="13"/>
    <col collapsed="false" customWidth="true" hidden="false" outlineLevel="0" max="14" min="12" style="0" width="14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45.75" hidden="false" customHeight="true" outlineLevel="0" collapsed="false">
      <c r="A4" s="3" t="s">
        <v>99</v>
      </c>
      <c r="B4" s="3" t="s">
        <v>100</v>
      </c>
      <c r="C4" s="3" t="s">
        <v>101</v>
      </c>
      <c r="D4" s="3" t="s">
        <v>102</v>
      </c>
      <c r="E4" s="3" t="s">
        <v>103</v>
      </c>
      <c r="F4" s="3" t="s">
        <v>104</v>
      </c>
      <c r="G4" s="3" t="s">
        <v>105</v>
      </c>
      <c r="H4" s="3" t="s">
        <v>106</v>
      </c>
      <c r="I4" s="3" t="s">
        <v>107</v>
      </c>
      <c r="J4" s="3" t="s">
        <v>108</v>
      </c>
      <c r="K4" s="3" t="s">
        <v>109</v>
      </c>
      <c r="L4" s="3" t="s">
        <v>110</v>
      </c>
      <c r="M4" s="3" t="s">
        <v>111</v>
      </c>
      <c r="N4" s="3" t="s">
        <v>112</v>
      </c>
    </row>
    <row r="5" customFormat="false" ht="15" hidden="false" customHeight="false" outlineLevel="0" collapsed="false">
      <c r="A5" s="8" t="s">
        <v>113</v>
      </c>
      <c r="B5" s="8" t="s">
        <v>114</v>
      </c>
      <c r="C5" s="8" t="s">
        <v>115</v>
      </c>
      <c r="D5" s="38" t="s">
        <v>116</v>
      </c>
      <c r="E5" s="33" t="n">
        <v>4603.05</v>
      </c>
      <c r="F5" s="33" t="n">
        <v>0</v>
      </c>
      <c r="G5" s="9" t="n">
        <f aca="false">IF(1=1,E5*Premissas!$C$18,0)</f>
        <v>1334.8845</v>
      </c>
      <c r="H5" s="15" t="n">
        <f aca="false">E5+F5+G5</f>
        <v>5937.9345</v>
      </c>
      <c r="I5" s="39" t="n">
        <v>1</v>
      </c>
      <c r="J5" s="39" t="n">
        <v>1</v>
      </c>
      <c r="K5" s="39" t="n">
        <v>1</v>
      </c>
      <c r="L5" s="9" t="n">
        <f aca="false">H5*I5</f>
        <v>5937.9345</v>
      </c>
      <c r="M5" s="9" t="n">
        <f aca="false">H5*J5</f>
        <v>5937.9345</v>
      </c>
      <c r="N5" s="9" t="n">
        <f aca="false">H5*K5</f>
        <v>5937.9345</v>
      </c>
    </row>
    <row r="6" customFormat="false" ht="15" hidden="false" customHeight="false" outlineLevel="0" collapsed="false">
      <c r="A6" s="8" t="s">
        <v>117</v>
      </c>
      <c r="B6" s="8" t="s">
        <v>118</v>
      </c>
      <c r="C6" s="8" t="s">
        <v>115</v>
      </c>
      <c r="D6" s="38" t="s">
        <v>119</v>
      </c>
      <c r="E6" s="33" t="n">
        <v>3580.75</v>
      </c>
      <c r="F6" s="33" t="n">
        <v>660</v>
      </c>
      <c r="G6" s="9" t="n">
        <f aca="false">IF(1=1,E6*Premissas!$C$18,0)</f>
        <v>1038.4175</v>
      </c>
      <c r="H6" s="15" t="n">
        <f aca="false">E6+F6+G6</f>
        <v>5279.1675</v>
      </c>
      <c r="I6" s="39" t="n">
        <v>1</v>
      </c>
      <c r="J6" s="39" t="n">
        <v>1</v>
      </c>
      <c r="K6" s="39" t="n">
        <v>1</v>
      </c>
      <c r="L6" s="9" t="n">
        <f aca="false">H6*I6</f>
        <v>5279.1675</v>
      </c>
      <c r="M6" s="9" t="n">
        <f aca="false">H6*J6</f>
        <v>5279.1675</v>
      </c>
      <c r="N6" s="9" t="n">
        <f aca="false">H6*K6</f>
        <v>5279.1675</v>
      </c>
    </row>
    <row r="7" customFormat="false" ht="15" hidden="false" customHeight="false" outlineLevel="0" collapsed="false">
      <c r="A7" s="8" t="s">
        <v>120</v>
      </c>
      <c r="B7" s="8" t="s">
        <v>121</v>
      </c>
      <c r="C7" s="8" t="s">
        <v>115</v>
      </c>
      <c r="D7" s="38" t="s">
        <v>119</v>
      </c>
      <c r="E7" s="33" t="n">
        <v>3000</v>
      </c>
      <c r="F7" s="33" t="n">
        <v>660</v>
      </c>
      <c r="G7" s="9" t="n">
        <f aca="false">IF(1=1,E7*Premissas!$C$18,0)</f>
        <v>870</v>
      </c>
      <c r="H7" s="15" t="n">
        <f aca="false">E7+F7+G7</f>
        <v>4530</v>
      </c>
      <c r="I7" s="39" t="n">
        <v>1</v>
      </c>
      <c r="J7" s="39" t="n">
        <v>1</v>
      </c>
      <c r="K7" s="39" t="n">
        <v>1</v>
      </c>
      <c r="L7" s="9" t="n">
        <f aca="false">H7*I7</f>
        <v>4530</v>
      </c>
      <c r="M7" s="9" t="n">
        <f aca="false">H7*J7</f>
        <v>4530</v>
      </c>
      <c r="N7" s="9" t="n">
        <f aca="false">H7*K7</f>
        <v>4530</v>
      </c>
    </row>
    <row r="8" customFormat="false" ht="15" hidden="false" customHeight="false" outlineLevel="0" collapsed="false">
      <c r="A8" s="8" t="s">
        <v>122</v>
      </c>
      <c r="B8" s="8" t="s">
        <v>123</v>
      </c>
      <c r="C8" s="8" t="s">
        <v>124</v>
      </c>
      <c r="D8" s="38" t="s">
        <v>119</v>
      </c>
      <c r="E8" s="33" t="n">
        <v>3000</v>
      </c>
      <c r="F8" s="33" t="n">
        <v>500</v>
      </c>
      <c r="G8" s="9" t="n">
        <f aca="false">IF(0=1,E8*Premissas!$C$18,0)</f>
        <v>0</v>
      </c>
      <c r="H8" s="15" t="n">
        <f aca="false">E8+F8+G8</f>
        <v>3500</v>
      </c>
      <c r="I8" s="39" t="n">
        <v>1</v>
      </c>
      <c r="J8" s="39" t="n">
        <v>1</v>
      </c>
      <c r="K8" s="39" t="n">
        <v>1</v>
      </c>
      <c r="L8" s="9" t="n">
        <f aca="false">H8*I8</f>
        <v>3500</v>
      </c>
      <c r="M8" s="9" t="n">
        <f aca="false">H8*J8</f>
        <v>3500</v>
      </c>
      <c r="N8" s="9" t="n">
        <f aca="false">H8*K8</f>
        <v>3500</v>
      </c>
    </row>
    <row r="9" customFormat="false" ht="15" hidden="false" customHeight="false" outlineLevel="0" collapsed="false">
      <c r="A9" s="8" t="s">
        <v>125</v>
      </c>
      <c r="B9" s="8" t="s">
        <v>126</v>
      </c>
      <c r="C9" s="8" t="s">
        <v>115</v>
      </c>
      <c r="D9" s="38" t="s">
        <v>116</v>
      </c>
      <c r="E9" s="33" t="n">
        <v>2027.6</v>
      </c>
      <c r="F9" s="33" t="n">
        <v>660</v>
      </c>
      <c r="G9" s="9" t="n">
        <f aca="false">IF(1=1,E9*Premissas!$C$18,0)</f>
        <v>588.004</v>
      </c>
      <c r="H9" s="15" t="n">
        <f aca="false">E9+F9+G9</f>
        <v>3275.604</v>
      </c>
      <c r="I9" s="39" t="n">
        <v>1</v>
      </c>
      <c r="J9" s="39" t="n">
        <v>1</v>
      </c>
      <c r="K9" s="39" t="n">
        <v>1</v>
      </c>
      <c r="L9" s="9" t="n">
        <f aca="false">H9*I9</f>
        <v>3275.604</v>
      </c>
      <c r="M9" s="9" t="n">
        <f aca="false">H9*J9</f>
        <v>3275.604</v>
      </c>
      <c r="N9" s="9" t="n">
        <f aca="false">H9*K9</f>
        <v>3275.604</v>
      </c>
    </row>
    <row r="10" customFormat="false" ht="15" hidden="false" customHeight="false" outlineLevel="0" collapsed="false">
      <c r="A10" s="8" t="s">
        <v>127</v>
      </c>
      <c r="B10" s="8" t="s">
        <v>128</v>
      </c>
      <c r="C10" s="8" t="s">
        <v>129</v>
      </c>
      <c r="D10" s="38" t="s">
        <v>119</v>
      </c>
      <c r="E10" s="33" t="n">
        <v>1800</v>
      </c>
      <c r="F10" s="33" t="n">
        <v>500</v>
      </c>
      <c r="G10" s="9" t="n">
        <f aca="false">IF(0=1,E10*Premissas!$C$18,0)</f>
        <v>0</v>
      </c>
      <c r="H10" s="15" t="n">
        <f aca="false">E10+F10+G10</f>
        <v>2300</v>
      </c>
      <c r="I10" s="39" t="n">
        <v>1</v>
      </c>
      <c r="J10" s="39" t="n">
        <v>1</v>
      </c>
      <c r="K10" s="39" t="n">
        <v>1</v>
      </c>
      <c r="L10" s="9" t="n">
        <f aca="false">H10*I10</f>
        <v>2300</v>
      </c>
      <c r="M10" s="9" t="n">
        <f aca="false">H10*J10</f>
        <v>2300</v>
      </c>
      <c r="N10" s="9" t="n">
        <f aca="false">H10*K10</f>
        <v>2300</v>
      </c>
    </row>
    <row r="11" customFormat="false" ht="15" hidden="false" customHeight="false" outlineLevel="0" collapsed="false">
      <c r="A11" s="8" t="s">
        <v>130</v>
      </c>
      <c r="B11" s="8" t="s">
        <v>131</v>
      </c>
      <c r="C11" s="8" t="s">
        <v>132</v>
      </c>
      <c r="D11" s="38" t="s">
        <v>119</v>
      </c>
      <c r="E11" s="33" t="n">
        <v>1500</v>
      </c>
      <c r="F11" s="33" t="n">
        <v>500</v>
      </c>
      <c r="G11" s="9" t="n">
        <f aca="false">IF(1=1,E11*Premissas!$C$18,0)</f>
        <v>435</v>
      </c>
      <c r="H11" s="15" t="n">
        <f aca="false">E11+F11+G11</f>
        <v>2435</v>
      </c>
      <c r="I11" s="39" t="n">
        <v>1</v>
      </c>
      <c r="J11" s="39" t="n">
        <v>1</v>
      </c>
      <c r="K11" s="39" t="n">
        <v>1</v>
      </c>
      <c r="L11" s="9" t="n">
        <f aca="false">H11*I11</f>
        <v>2435</v>
      </c>
      <c r="M11" s="9" t="n">
        <f aca="false">H11*J11</f>
        <v>2435</v>
      </c>
      <c r="N11" s="9" t="n">
        <f aca="false">H11*K11</f>
        <v>2435</v>
      </c>
    </row>
    <row r="12" customFormat="false" ht="15" hidden="false" customHeight="false" outlineLevel="0" collapsed="false">
      <c r="A12" s="8" t="s">
        <v>133</v>
      </c>
      <c r="B12" s="8" t="s">
        <v>134</v>
      </c>
      <c r="C12" s="8" t="s">
        <v>135</v>
      </c>
      <c r="D12" s="40" t="s">
        <v>136</v>
      </c>
      <c r="E12" s="33" t="n">
        <v>1500</v>
      </c>
      <c r="F12" s="33" t="n">
        <v>0</v>
      </c>
      <c r="G12" s="9" t="n">
        <f aca="false">IF(0=1,E12*Premissas!$C$18,0)</f>
        <v>0</v>
      </c>
      <c r="H12" s="15" t="n">
        <f aca="false">E12+F12+G12</f>
        <v>1500</v>
      </c>
      <c r="I12" s="39" t="n">
        <v>1</v>
      </c>
      <c r="J12" s="39" t="n">
        <v>0</v>
      </c>
      <c r="K12" s="39" t="n">
        <v>1</v>
      </c>
      <c r="L12" s="9" t="n">
        <f aca="false">H12*I12</f>
        <v>1500</v>
      </c>
      <c r="M12" s="9" t="n">
        <f aca="false">H12*J12</f>
        <v>0</v>
      </c>
      <c r="N12" s="9" t="n">
        <f aca="false">H12*K12</f>
        <v>1500</v>
      </c>
    </row>
    <row r="13" customFormat="false" ht="15" hidden="false" customHeight="false" outlineLevel="0" collapsed="false">
      <c r="A13" s="8" t="s">
        <v>137</v>
      </c>
      <c r="B13" s="8" t="s">
        <v>128</v>
      </c>
      <c r="C13" s="8" t="s">
        <v>138</v>
      </c>
      <c r="D13" s="41" t="s">
        <v>139</v>
      </c>
      <c r="E13" s="33" t="n">
        <v>1500</v>
      </c>
      <c r="F13" s="33" t="n">
        <v>0</v>
      </c>
      <c r="G13" s="9" t="n">
        <f aca="false">IF(0=1,E13*Premissas!$C$18,0)</f>
        <v>0</v>
      </c>
      <c r="H13" s="15" t="n">
        <f aca="false">E13+F13+G13</f>
        <v>1500</v>
      </c>
      <c r="I13" s="39" t="n">
        <v>0</v>
      </c>
      <c r="J13" s="39" t="n">
        <v>1</v>
      </c>
      <c r="K13" s="39" t="n">
        <v>1</v>
      </c>
      <c r="L13" s="9" t="n">
        <f aca="false">H13*I13</f>
        <v>0</v>
      </c>
      <c r="M13" s="9" t="n">
        <f aca="false">H13*J13</f>
        <v>1500</v>
      </c>
      <c r="N13" s="9" t="n">
        <f aca="false">H13*K13</f>
        <v>1500</v>
      </c>
    </row>
    <row r="14" customFormat="false" ht="15" hidden="false" customHeight="false" outlineLevel="0" collapsed="false">
      <c r="A14" s="8" t="s">
        <v>140</v>
      </c>
      <c r="B14" s="8" t="s">
        <v>141</v>
      </c>
      <c r="C14" s="8" t="s">
        <v>138</v>
      </c>
      <c r="D14" s="41" t="s">
        <v>142</v>
      </c>
      <c r="E14" s="33" t="n">
        <v>900</v>
      </c>
      <c r="F14" s="33" t="n">
        <v>0</v>
      </c>
      <c r="G14" s="9" t="n">
        <f aca="false">IF(0=1,E14*Premissas!$C$18,0)</f>
        <v>0</v>
      </c>
      <c r="H14" s="15" t="n">
        <f aca="false">E14+F14+G14</f>
        <v>900</v>
      </c>
      <c r="I14" s="39" t="n">
        <v>0</v>
      </c>
      <c r="J14" s="39" t="n">
        <v>1</v>
      </c>
      <c r="K14" s="39" t="n">
        <v>1</v>
      </c>
      <c r="L14" s="9" t="n">
        <f aca="false">H14*I14</f>
        <v>0</v>
      </c>
      <c r="M14" s="9" t="n">
        <f aca="false">H14*J14</f>
        <v>900</v>
      </c>
      <c r="N14" s="9" t="n">
        <f aca="false">H14*K14</f>
        <v>900</v>
      </c>
    </row>
    <row r="15" customFormat="false" ht="15" hidden="false" customHeight="false" outlineLevel="0" collapsed="false">
      <c r="A15" s="8" t="s">
        <v>143</v>
      </c>
      <c r="B15" s="8" t="s">
        <v>128</v>
      </c>
      <c r="C15" s="8" t="s">
        <v>138</v>
      </c>
      <c r="D15" s="40" t="s">
        <v>144</v>
      </c>
      <c r="E15" s="33" t="n">
        <v>1900</v>
      </c>
      <c r="F15" s="33" t="n">
        <v>500</v>
      </c>
      <c r="G15" s="9" t="n">
        <f aca="false">IF(0=1,E15*Premissas!$C$18,0)</f>
        <v>0</v>
      </c>
      <c r="H15" s="15" t="n">
        <f aca="false">E15+F15+G15</f>
        <v>2400</v>
      </c>
      <c r="I15" s="39" t="n">
        <v>0</v>
      </c>
      <c r="J15" s="39" t="n">
        <v>0</v>
      </c>
      <c r="K15" s="39" t="n">
        <v>1</v>
      </c>
      <c r="L15" s="9" t="n">
        <f aca="false">H15*I15</f>
        <v>0</v>
      </c>
      <c r="M15" s="9" t="n">
        <f aca="false">H15*J15</f>
        <v>0</v>
      </c>
      <c r="N15" s="9" t="n">
        <f aca="false">H15*K15</f>
        <v>2400</v>
      </c>
    </row>
    <row r="16" customFormat="false" ht="15" hidden="false" customHeight="false" outlineLevel="0" collapsed="false">
      <c r="A16" s="8" t="s">
        <v>145</v>
      </c>
      <c r="B16" s="8" t="s">
        <v>134</v>
      </c>
      <c r="C16" s="8" t="s">
        <v>146</v>
      </c>
      <c r="D16" s="40" t="s">
        <v>144</v>
      </c>
      <c r="E16" s="33" t="n">
        <v>1500</v>
      </c>
      <c r="F16" s="33" t="n">
        <v>0</v>
      </c>
      <c r="G16" s="9" t="n">
        <f aca="false">IF(0=1,E16*Premissas!$C$18,0)</f>
        <v>0</v>
      </c>
      <c r="H16" s="15" t="n">
        <f aca="false">E16+F16+G16</f>
        <v>1500</v>
      </c>
      <c r="I16" s="39" t="n">
        <v>0</v>
      </c>
      <c r="J16" s="39" t="n">
        <v>0</v>
      </c>
      <c r="K16" s="39" t="n">
        <v>1</v>
      </c>
      <c r="L16" s="9" t="n">
        <f aca="false">H16*I16</f>
        <v>0</v>
      </c>
      <c r="M16" s="9" t="n">
        <f aca="false">H16*J16</f>
        <v>0</v>
      </c>
      <c r="N16" s="9" t="n">
        <f aca="false">H16*K16</f>
        <v>1500</v>
      </c>
    </row>
    <row r="17" customFormat="false" ht="15" hidden="false" customHeight="false" outlineLevel="0" collapsed="false">
      <c r="A17" s="29" t="s">
        <v>147</v>
      </c>
      <c r="L17" s="5" t="n">
        <f aca="false">SUM(L5:L16)</f>
        <v>28757.706</v>
      </c>
      <c r="M17" s="5" t="n">
        <f aca="false">SUM(M5:M16)</f>
        <v>29657.706</v>
      </c>
      <c r="N17" s="5" t="n">
        <f aca="false">SUM(N5:N16)</f>
        <v>35057.706</v>
      </c>
    </row>
    <row r="18" customFormat="false" ht="15" hidden="false" customHeight="false" outlineLevel="0" collapsed="false">
      <c r="A18" s="29" t="s">
        <v>148</v>
      </c>
      <c r="L18" s="42" t="n">
        <f aca="false">SUM(I5:I16)</f>
        <v>8</v>
      </c>
      <c r="M18" s="42" t="n">
        <f aca="false">SUM(J5:J16)</f>
        <v>9</v>
      </c>
      <c r="N18" s="42" t="n">
        <f aca="false">SUM(K5:K16)</f>
        <v>12</v>
      </c>
    </row>
    <row r="20" customFormat="false" ht="15" hidden="false" customHeight="false" outlineLevel="0" collapsed="false">
      <c r="A20" s="29" t="s">
        <v>149</v>
      </c>
      <c r="B20" s="29" t="s">
        <v>150</v>
      </c>
      <c r="C20" s="29" t="s">
        <v>151</v>
      </c>
      <c r="D20" s="29" t="s">
        <v>152</v>
      </c>
    </row>
    <row r="21" customFormat="false" ht="15" hidden="false" customHeight="false" outlineLevel="0" collapsed="false">
      <c r="A21" s="32" t="s">
        <v>153</v>
      </c>
      <c r="B21" s="9" t="n">
        <f aca="false">SUMPRODUCT(E5:E16,I5:I16)</f>
        <v>21011.4</v>
      </c>
      <c r="C21" s="9" t="n">
        <f aca="false">SUMPRODUCT(E5:E16,J5:J16)</f>
        <v>21911.4</v>
      </c>
      <c r="D21" s="9" t="n">
        <f aca="false">SUMPRODUCT(E5:E16,K5:K16)</f>
        <v>26811.4</v>
      </c>
    </row>
    <row r="22" customFormat="false" ht="15" hidden="false" customHeight="false" outlineLevel="0" collapsed="false">
      <c r="A22" s="32" t="s">
        <v>104</v>
      </c>
      <c r="B22" s="9" t="n">
        <f aca="false">SUMPRODUCT(F5:F16,I5:I16)</f>
        <v>3480</v>
      </c>
      <c r="C22" s="9" t="n">
        <f aca="false">SUMPRODUCT(F5:F16,J5:J16)</f>
        <v>3480</v>
      </c>
      <c r="D22" s="9" t="n">
        <f aca="false">SUMPRODUCT(F5:F16,K5:K16)</f>
        <v>3980</v>
      </c>
    </row>
    <row r="23" customFormat="false" ht="15" hidden="false" customHeight="false" outlineLevel="0" collapsed="false">
      <c r="A23" s="32" t="s">
        <v>105</v>
      </c>
      <c r="B23" s="9" t="n">
        <f aca="false">SUMPRODUCT(G5:G16,I5:I16)</f>
        <v>4266.306</v>
      </c>
      <c r="C23" s="9" t="n">
        <f aca="false">SUMPRODUCT(G5:G16,J5:J16)</f>
        <v>4266.306</v>
      </c>
      <c r="D23" s="9" t="n">
        <f aca="false">SUMPRODUCT(G5:G16,K5:K16)</f>
        <v>4266.306</v>
      </c>
    </row>
    <row r="26" customFormat="false" ht="15" hidden="false" customHeight="false" outlineLevel="0" collapsed="false">
      <c r="A26" s="29" t="s">
        <v>154</v>
      </c>
    </row>
    <row r="27" customFormat="false" ht="15" hidden="false" customHeight="false" outlineLevel="0" collapsed="false">
      <c r="A27" s="28" t="s">
        <v>155</v>
      </c>
    </row>
    <row r="28" customFormat="false" ht="15" hidden="false" customHeight="false" outlineLevel="0" collapsed="false">
      <c r="A28" s="28" t="s">
        <v>156</v>
      </c>
    </row>
    <row r="29" customFormat="false" ht="15" hidden="false" customHeight="false" outlineLevel="0" collapsed="false">
      <c r="A29" s="28" t="s">
        <v>157</v>
      </c>
    </row>
    <row r="30" customFormat="false" ht="15" hidden="false" customHeight="false" outlineLevel="0" collapsed="false">
      <c r="A30" s="28"/>
    </row>
    <row r="31" customFormat="false" ht="15" hidden="false" customHeight="false" outlineLevel="0" collapsed="false">
      <c r="A31" s="29" t="s">
        <v>158</v>
      </c>
    </row>
    <row r="32" customFormat="false" ht="15" hidden="false" customHeight="false" outlineLevel="0" collapsed="false">
      <c r="A32" s="28" t="s">
        <v>159</v>
      </c>
    </row>
    <row r="33" customFormat="false" ht="15" hidden="false" customHeight="false" outlineLevel="0" collapsed="false">
      <c r="A33" s="28" t="s">
        <v>160</v>
      </c>
    </row>
    <row r="34" customFormat="false" ht="15" hidden="false" customHeight="false" outlineLevel="0" collapsed="false">
      <c r="A34" s="28" t="s">
        <v>161</v>
      </c>
    </row>
    <row r="35" customFormat="false" ht="15" hidden="false" customHeight="false" outlineLevel="0" collapsed="false">
      <c r="A35" s="28" t="s">
        <v>162</v>
      </c>
    </row>
    <row r="36" customFormat="false" ht="15" hidden="false" customHeight="false" outlineLevel="0" collapsed="false">
      <c r="A36" s="28" t="s">
        <v>163</v>
      </c>
    </row>
    <row r="37" customFormat="false" ht="15" hidden="false" customHeight="false" outlineLevel="0" collapsed="false">
      <c r="A37" s="28" t="s">
        <v>164</v>
      </c>
    </row>
    <row r="38" customFormat="false" ht="15" hidden="false" customHeight="false" outlineLevel="0" collapsed="false">
      <c r="A38" s="28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4" min="3" style="0" width="22"/>
    <col collapsed="false" customWidth="true" hidden="false" outlineLevel="0" max="5" min="5" style="0" width="26"/>
    <col collapsed="false" customWidth="true" hidden="false" outlineLevel="0" max="7" min="6" style="0" width="18"/>
    <col collapsed="false" customWidth="true" hidden="false" outlineLevel="0" max="8" min="8" style="0" width="62"/>
  </cols>
  <sheetData>
    <row r="1" customFormat="false" ht="17.35" hidden="false" customHeight="false" outlineLevel="0" collapsed="false">
      <c r="A1" s="1" t="s">
        <v>166</v>
      </c>
    </row>
    <row r="2" customFormat="false" ht="15" hidden="false" customHeight="false" outlineLevel="0" collapsed="false">
      <c r="A2" s="2" t="s">
        <v>167</v>
      </c>
    </row>
    <row r="4" customFormat="false" ht="45.75" hidden="false" customHeight="true" outlineLevel="0" collapsed="false">
      <c r="A4" s="3" t="s">
        <v>168</v>
      </c>
      <c r="B4" s="3" t="s">
        <v>169</v>
      </c>
      <c r="C4" s="3" t="s">
        <v>100</v>
      </c>
      <c r="D4" s="3" t="s">
        <v>101</v>
      </c>
      <c r="E4" s="3" t="s">
        <v>170</v>
      </c>
      <c r="F4" s="3" t="s">
        <v>171</v>
      </c>
      <c r="G4" s="3" t="s">
        <v>172</v>
      </c>
      <c r="H4" s="3" t="s">
        <v>173</v>
      </c>
    </row>
    <row r="5" customFormat="false" ht="45.75" hidden="false" customHeight="true" outlineLevel="0" collapsed="false">
      <c r="A5" s="8" t="n">
        <v>1</v>
      </c>
      <c r="B5" s="8" t="s">
        <v>133</v>
      </c>
      <c r="C5" s="8" t="s">
        <v>134</v>
      </c>
      <c r="D5" s="8" t="s">
        <v>135</v>
      </c>
      <c r="E5" s="43" t="s">
        <v>174</v>
      </c>
      <c r="F5" s="33" t="n">
        <v>-1500</v>
      </c>
      <c r="G5" s="33" t="n">
        <v>-1500</v>
      </c>
      <c r="H5" s="44" t="s">
        <v>175</v>
      </c>
    </row>
    <row r="6" customFormat="false" ht="45.75" hidden="false" customHeight="true" outlineLevel="0" collapsed="false">
      <c r="A6" s="8" t="n">
        <v>2</v>
      </c>
      <c r="B6" s="8" t="s">
        <v>140</v>
      </c>
      <c r="C6" s="8" t="s">
        <v>141</v>
      </c>
      <c r="D6" s="8" t="s">
        <v>138</v>
      </c>
      <c r="E6" s="45" t="s">
        <v>142</v>
      </c>
      <c r="F6" s="33" t="n">
        <v>900</v>
      </c>
      <c r="G6" s="33" t="n">
        <v>0</v>
      </c>
      <c r="H6" s="44" t="s">
        <v>176</v>
      </c>
    </row>
    <row r="7" customFormat="false" ht="45.75" hidden="false" customHeight="true" outlineLevel="0" collapsed="false">
      <c r="A7" s="8" t="n">
        <v>3</v>
      </c>
      <c r="B7" s="8" t="s">
        <v>177</v>
      </c>
      <c r="C7" s="8" t="s">
        <v>128</v>
      </c>
      <c r="D7" s="8" t="s">
        <v>138</v>
      </c>
      <c r="E7" s="45" t="s">
        <v>178</v>
      </c>
      <c r="F7" s="33" t="n">
        <v>1500</v>
      </c>
      <c r="G7" s="33" t="n">
        <v>0</v>
      </c>
      <c r="H7" s="44" t="s">
        <v>179</v>
      </c>
    </row>
    <row r="8" customFormat="false" ht="45.75" hidden="false" customHeight="true" outlineLevel="0" collapsed="false">
      <c r="A8" s="8" t="n">
        <v>4</v>
      </c>
      <c r="B8" s="8" t="s">
        <v>143</v>
      </c>
      <c r="C8" s="8" t="s">
        <v>128</v>
      </c>
      <c r="D8" s="8" t="s">
        <v>138</v>
      </c>
      <c r="E8" s="43" t="s">
        <v>180</v>
      </c>
      <c r="F8" s="33" t="n">
        <v>0</v>
      </c>
      <c r="G8" s="33" t="n">
        <v>-2400</v>
      </c>
      <c r="H8" s="44" t="s">
        <v>181</v>
      </c>
    </row>
    <row r="9" customFormat="false" ht="45.75" hidden="false" customHeight="true" outlineLevel="0" collapsed="false">
      <c r="A9" s="8" t="n">
        <v>5</v>
      </c>
      <c r="B9" s="8" t="s">
        <v>145</v>
      </c>
      <c r="C9" s="8" t="s">
        <v>134</v>
      </c>
      <c r="D9" s="8" t="s">
        <v>146</v>
      </c>
      <c r="E9" s="43" t="s">
        <v>180</v>
      </c>
      <c r="F9" s="33" t="n">
        <v>0</v>
      </c>
      <c r="G9" s="33" t="n">
        <v>-1500</v>
      </c>
      <c r="H9" s="44" t="s">
        <v>182</v>
      </c>
    </row>
    <row r="10" customFormat="false" ht="15" hidden="false" customHeight="false" outlineLevel="0" collapsed="false">
      <c r="E10" s="29" t="s">
        <v>183</v>
      </c>
      <c r="F10" s="5" t="n">
        <f aca="false">SUM(F5:F9)</f>
        <v>900</v>
      </c>
      <c r="G10" s="5" t="n">
        <f aca="false">SUM(G5:G9)</f>
        <v>-5400</v>
      </c>
      <c r="H10" s="28" t="s">
        <v>184</v>
      </c>
    </row>
    <row r="11" customFormat="false" ht="15" hidden="false" customHeight="false" outlineLevel="0" collapsed="false">
      <c r="E11" s="29" t="s">
        <v>185</v>
      </c>
      <c r="F11" s="5" t="n">
        <f aca="false">F10*12</f>
        <v>10800</v>
      </c>
      <c r="G11" s="5" t="n">
        <f aca="false">G10*12</f>
        <v>-64800</v>
      </c>
    </row>
    <row r="13" customFormat="false" ht="15" hidden="false" customHeight="false" outlineLevel="0" collapsed="false">
      <c r="B13" s="29" t="s">
        <v>186</v>
      </c>
    </row>
    <row r="14" customFormat="false" ht="15" hidden="false" customHeight="false" outlineLevel="0" collapsed="false">
      <c r="B14" s="28" t="s">
        <v>187</v>
      </c>
    </row>
    <row r="15" customFormat="false" ht="15" hidden="false" customHeight="false" outlineLevel="0" collapsed="false">
      <c r="B15" s="28" t="s">
        <v>188</v>
      </c>
    </row>
    <row r="16" customFormat="false" ht="15" hidden="false" customHeight="false" outlineLevel="0" collapsed="false">
      <c r="B16" s="28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2026-08-10T19:51:52Z</dcterms:created>
  <dc:creator>openpyxl</dc:creator>
  <dc:description/>
  <dc:language>en-US</dc:language>
  <cp:lastModifiedBy/>
  <dcterms:modified xsi:type="dcterms:W3CDTF">2026-08-10T19:51:52Z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